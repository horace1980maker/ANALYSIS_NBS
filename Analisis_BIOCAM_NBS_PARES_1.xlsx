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neral NBS - Análisis" sheetId="1" r:id="rId4"/>
    <sheet state="visible" name="Codebook" sheetId="2" r:id="rId5"/>
    <sheet state="visible" name="AN - ANC" sheetId="3" r:id="rId6"/>
    <sheet state="visible" name="Seguridad" sheetId="4" r:id="rId7"/>
    <sheet state="visible" name="Rasgos Transformadores" sheetId="5" r:id="rId8"/>
    <sheet state="visible" name="Brechas Gobernanza" sheetId="6" r:id="rId9"/>
  </sheets>
  <definedNames/>
  <calcPr/>
  <extLst>
    <ext uri="GoogleSheetsCustomDataVersion2">
      <go:sheetsCustomData xmlns:go="http://customooxmlschemas.google.com/" r:id="rId10" roundtripDataChecksum="+8lGfojhASm2Yld+Cx8BXoq21KSIyLt7TsGlc0lm1vk="/>
    </ext>
  </extLst>
</workbook>
</file>

<file path=xl/sharedStrings.xml><?xml version="1.0" encoding="utf-8"?>
<sst xmlns="http://schemas.openxmlformats.org/spreadsheetml/2006/main" count="1786" uniqueCount="1024">
  <si>
    <t>ID_NbS</t>
  </si>
  <si>
    <t>País</t>
  </si>
  <si>
    <t>Paisaje</t>
  </si>
  <si>
    <t>Organización_Local</t>
  </si>
  <si>
    <t xml:space="preserve">Combinación_NbS </t>
  </si>
  <si>
    <t xml:space="preserve">Descripción_NbS </t>
  </si>
  <si>
    <t>Benef_directos_n</t>
  </si>
  <si>
    <t>Benef_directos_unidad</t>
  </si>
  <si>
    <t>Benef_directos_desc</t>
  </si>
  <si>
    <t>Benef_indirectos_n</t>
  </si>
  <si>
    <t>Benef_indirectos_unidad</t>
  </si>
  <si>
    <t>Benef_indirectos_desc</t>
  </si>
  <si>
    <t>Amenaza_Climatica_1</t>
  </si>
  <si>
    <t>Amenaza_Climatica_2</t>
  </si>
  <si>
    <t>Amenaza_Climatica_3</t>
  </si>
  <si>
    <t>Amenaza_no_Climatica_1</t>
  </si>
  <si>
    <t>Amenaza_no_Climatica_2</t>
  </si>
  <si>
    <t>Amenaza_no_Climatica_3</t>
  </si>
  <si>
    <t>Seg_ambiental</t>
  </si>
  <si>
    <t>Seg_hidrica</t>
  </si>
  <si>
    <t>Seg_alimentaria</t>
  </si>
  <si>
    <t>Seg_Economica</t>
  </si>
  <si>
    <t>Seg_comunitaria</t>
  </si>
  <si>
    <t>Seg_Sanitaria</t>
  </si>
  <si>
    <t>Seg_politica</t>
  </si>
  <si>
    <t>Seg_total</t>
  </si>
  <si>
    <t>Seg_justificacion</t>
  </si>
  <si>
    <t>T1_path_shifting</t>
  </si>
  <si>
    <t>T2_multiscale</t>
  </si>
  <si>
    <t>T3_innovative</t>
  </si>
  <si>
    <t>T4_persistent</t>
  </si>
  <si>
    <t>T5_systemwide</t>
  </si>
  <si>
    <t>T6_restructuring</t>
  </si>
  <si>
    <t>T_score</t>
  </si>
  <si>
    <t>Evidencia_rasgos</t>
  </si>
  <si>
    <t>Brecha_NBS_1</t>
  </si>
  <si>
    <t>Brecha_NBS_2</t>
  </si>
  <si>
    <t>Brecha_NBS_3</t>
  </si>
  <si>
    <t>Evidencia_brechas</t>
  </si>
  <si>
    <t>Guatemala</t>
  </si>
  <si>
    <t>Corredor Biológico de Chiquimula (Trifinio; Volcán de Ipala – Cerro Huexqué – Montaña El Gigante)</t>
  </si>
  <si>
    <t>ASOVERDE</t>
  </si>
  <si>
    <t>Restauración forestal y manejo de especies nativas</t>
  </si>
  <si>
    <t>Restauración activa de áreas forestales degradadas con especies nativas y adaptadas, apoyada por un vivero forestal de especies nativas para cercas vivas y otras necesidades de restauración, y convenios con universidades para investigación y extensión en SbN.</t>
  </si>
  <si>
    <t>ND</t>
  </si>
  <si>
    <t>familias</t>
  </si>
  <si>
    <t>Productores(as) agrícolas y forestales con parcelas en áreas degradadas.</t>
  </si>
  <si>
    <t>comunidades</t>
  </si>
  <si>
    <t>Comunidades especialmente cuenca abajo; municipalidades e instituciones ambientales/forestales y académicas que usan las parcelas como sitios de aprendizaje y extensión.</t>
  </si>
  <si>
    <t>AC01 Sequía / déficit de precipitación</t>
  </si>
  <si>
    <t>AC07 Incendios forestales (cuando se reportan como amenaza climática/estacional)</t>
  </si>
  <si>
    <t>AC02 Lluvias intensas y erráticas / variabilidad de precipitación</t>
  </si>
  <si>
    <t>ANC19 Tala</t>
  </si>
  <si>
    <t>ANC03 Erosión, sedimentación y degradación de suelos</t>
  </si>
  <si>
    <r>
      <rPr>
        <rFont val="Aptos Narrow"/>
        <color theme="1"/>
        <sz val="11.0"/>
      </rPr>
      <t xml:space="preserve">Contribuye a </t>
    </r>
    <r>
      <rPr>
        <rFont val="Aptos Narrow"/>
        <b/>
        <color theme="1"/>
        <sz val="11.0"/>
      </rPr>
      <t>seguridad ambiental</t>
    </r>
    <r>
      <rPr>
        <rFont val="Aptos Narrow"/>
        <color theme="1"/>
        <sz val="11.0"/>
      </rPr>
      <t xml:space="preserve"> (restauración y conectividad), </t>
    </r>
    <r>
      <rPr>
        <rFont val="Aptos Narrow"/>
        <b/>
        <color theme="1"/>
        <sz val="11.0"/>
      </rPr>
      <t>hídrica</t>
    </r>
    <r>
      <rPr>
        <rFont val="Aptos Narrow"/>
        <color theme="1"/>
        <sz val="11.0"/>
      </rPr>
      <t xml:space="preserve"> (recarga/regulación cuenca arriba–cuenca abajo) y </t>
    </r>
    <r>
      <rPr>
        <rFont val="Aptos Narrow"/>
        <b/>
        <color theme="1"/>
        <sz val="11.0"/>
      </rPr>
      <t>económica</t>
    </r>
    <r>
      <rPr>
        <rFont val="Aptos Narrow"/>
        <color theme="1"/>
        <sz val="11.0"/>
      </rPr>
      <t xml:space="preserve"> (base productiva/forestal más resiliente); refuerza </t>
    </r>
    <r>
      <rPr>
        <rFont val="Aptos Narrow"/>
        <b/>
        <color theme="1"/>
        <sz val="11.0"/>
      </rPr>
      <t>cohesión comunitaria</t>
    </r>
    <r>
      <rPr>
        <rFont val="Aptos Narrow"/>
        <color theme="1"/>
        <sz val="11.0"/>
      </rPr>
      <t xml:space="preserve"> al articular cooperación local y con universidades para sostener prácticas y aprendizaje en el corredor.</t>
    </r>
  </si>
  <si>
    <t>T1=2: restauración activa de bosque degradado con especies nativas (cambio de uso/manejo); T2=1: articulación local–academia (convenios de investigación/extensión); T3=1: vivero forestal para cercas vivas/insumos de restauración; T4=1: capacidades/infraestructura (vivero) y alianzas para continuidad; T5=1: intervención en corredor pero con alcance aún focal.</t>
  </si>
  <si>
    <t>B1.2 Corto plazo político vs largo plazo ecológico</t>
  </si>
  <si>
    <t>B1.4 Fragmentación propiedad y derechos de uso</t>
  </si>
  <si>
    <t>B4.1 Baja capacidad institucional</t>
  </si>
  <si>
    <t>B1.2: restauración requiere décadas vs ciclos cortos de financiamiento/gestión; 
B1.4: corredor con múltiples dueños/as exige coordinación operativa; 
B4.1: necesidad de capacidades técnicas para restauración/monitoreo y enlace con instituciones/academia.</t>
  </si>
  <si>
    <t>Sistemas agroforestales y gestión del agua</t>
  </si>
  <si>
    <t>Sistemas agroforestales diversos con frutales, combinados con reservorios de agua lluvia, riego por goteo o microaspersión, y promoción del uso de bioinsumos en café, hortalizas y frutales.</t>
  </si>
  <si>
    <t>Productores(as) de café, hortalizas y frutales, con parcelas en laderas y zonas de recarga hídrica.</t>
  </si>
  <si>
    <t>hogares</t>
  </si>
  <si>
    <t>Usuarios de agua para consumo y riego; juntas de agua/comités comunitarios; mercados locales y servicios de extensión agrícola.</t>
  </si>
  <si>
    <t>AC06 Escasez de agua / estrés hídrico (cuando se reporta como “disponibilidad/caudales” más que como sequía)</t>
  </si>
  <si>
    <t>ANC02 Extracción excesiva de agua / desvío de cauces</t>
  </si>
  <si>
    <r>
      <rPr>
        <rFont val="Aptos Narrow"/>
        <color theme="1"/>
        <sz val="11.0"/>
      </rPr>
      <t xml:space="preserve">Contribuye a </t>
    </r>
    <r>
      <rPr>
        <rFont val="Aptos Narrow"/>
        <b/>
        <color theme="1"/>
        <sz val="11.0"/>
      </rPr>
      <t>seguridad hídrica</t>
    </r>
    <r>
      <rPr>
        <rFont val="Aptos Narrow"/>
        <color theme="1"/>
        <sz val="11.0"/>
      </rPr>
      <t xml:space="preserve"> (almacenamiento + riego eficiente), </t>
    </r>
    <r>
      <rPr>
        <rFont val="Aptos Narrow"/>
        <b/>
        <color theme="1"/>
        <sz val="11.0"/>
      </rPr>
      <t>alimentaria</t>
    </r>
    <r>
      <rPr>
        <rFont val="Aptos Narrow"/>
        <color theme="1"/>
        <sz val="11.0"/>
      </rPr>
      <t xml:space="preserve"> (diversificación de producción), </t>
    </r>
    <r>
      <rPr>
        <rFont val="Aptos Narrow"/>
        <b/>
        <color theme="1"/>
        <sz val="11.0"/>
      </rPr>
      <t>económica</t>
    </r>
    <r>
      <rPr>
        <rFont val="Aptos Narrow"/>
        <color theme="1"/>
        <sz val="11.0"/>
      </rPr>
      <t xml:space="preserve"> (ingresos/medios de vida) y </t>
    </r>
    <r>
      <rPr>
        <rFont val="Aptos Narrow"/>
        <b/>
        <color theme="1"/>
        <sz val="11.0"/>
      </rPr>
      <t>ambiental</t>
    </r>
    <r>
      <rPr>
        <rFont val="Aptos Narrow"/>
        <color theme="1"/>
        <sz val="11.0"/>
      </rPr>
      <t xml:space="preserve"> (SAF y bioinsumos); fortalece </t>
    </r>
    <r>
      <rPr>
        <rFont val="Aptos Narrow"/>
        <b/>
        <color theme="1"/>
        <sz val="11.0"/>
      </rPr>
      <t>seguridad comunitaria</t>
    </r>
    <r>
      <rPr>
        <rFont val="Aptos Narrow"/>
        <color theme="1"/>
        <sz val="11.0"/>
      </rPr>
      <t xml:space="preserve"> al involucrar juntas/comités de agua y reglas prácticas para reducir tensiones por uso del recurso.</t>
    </r>
  </si>
  <si>
    <t>T1=2: transición hacia SAF + eficiencia hídrica y bioinsumos (reorienta prácticas productivas); T2=1: incorpora actores comunitarios de agua (mención, sin instrumento detallado); T3=1: adopción de riego por goteo/microaspersión y bioinsumos (innovación aplicada al contexto); T4=1: requiere O&amp;M y capacidades, mencionadas de forma general; T5=1: paquete integrado suelo–agua–producción, pero sin evidencia de escalamiento sistémico.</t>
  </si>
  <si>
    <t>B1.1 Rigidez institucional vs escala ecológica</t>
  </si>
  <si>
    <t>B4.2 Riesgos y financiamiento</t>
  </si>
  <si>
    <t>B1.1: gestión de agua/recarga requiere coordinación por microcuenca más allá de límites administrativos;
B4.2: inversión y mantenimiento de reservorios/irrigación suele carecer de instrumentos financieros; 
B1.2: beneficios de SAF y recarga maduran a largo plazo.</t>
  </si>
  <si>
    <t>Gobernanza del uso del agua y sensibilización ambiental</t>
  </si>
  <si>
    <t>Sensibilización y promoción del cumplimiento de la normativa forestal y de uso de agua para riego agrícola a nivel comunitario y municipal.</t>
  </si>
  <si>
    <t>Productores(as) agrícolas y forestales: usan leña, madera y agua de riego en el corredor.</t>
  </si>
  <si>
    <t>instituciones</t>
  </si>
  <si>
    <t>Instituciones competentes (INAB, MAGA, municipalidades) y comunidades del corredor que dependen de los servicios ecosistémicos de bosque y agua.</t>
  </si>
  <si>
    <t>ANC12 Debilidad institucional en aplicación de medidas</t>
  </si>
  <si>
    <r>
      <rPr>
        <rFont val="Aptos Narrow"/>
        <color theme="1"/>
        <sz val="11.0"/>
      </rPr>
      <t xml:space="preserve">Contribuye a </t>
    </r>
    <r>
      <rPr>
        <rFont val="Aptos Narrow"/>
        <b/>
        <color theme="1"/>
        <sz val="11.0"/>
      </rPr>
      <t>seguridad política</t>
    </r>
    <r>
      <rPr>
        <rFont val="Aptos Narrow"/>
        <color theme="1"/>
        <sz val="11.0"/>
      </rPr>
      <t xml:space="preserve"> (reglas, cumplimiento, legitimidad y coordinación), además de </t>
    </r>
    <r>
      <rPr>
        <rFont val="Aptos Narrow"/>
        <b/>
        <color theme="1"/>
        <sz val="11.0"/>
      </rPr>
      <t>ambiental</t>
    </r>
    <r>
      <rPr>
        <rFont val="Aptos Narrow"/>
        <color theme="1"/>
        <sz val="11.0"/>
      </rPr>
      <t xml:space="preserve"> y </t>
    </r>
    <r>
      <rPr>
        <rFont val="Aptos Narrow"/>
        <b/>
        <color theme="1"/>
        <sz val="11.0"/>
      </rPr>
      <t>hídrica</t>
    </r>
    <r>
      <rPr>
        <rFont val="Aptos Narrow"/>
        <color theme="1"/>
        <sz val="11.0"/>
      </rPr>
      <t xml:space="preserve"> al reducir presión sobre bosque/agua; mejora </t>
    </r>
    <r>
      <rPr>
        <rFont val="Aptos Narrow"/>
        <b/>
        <color theme="1"/>
        <sz val="11.0"/>
      </rPr>
      <t>seguridad comunitaria</t>
    </r>
    <r>
      <rPr>
        <rFont val="Aptos Narrow"/>
        <color theme="1"/>
        <sz val="11.0"/>
      </rPr>
      <t xml:space="preserve"> al prevenir escalamiento de disputas y promover acuerdos locales sobre uso de recursos bajo condiciones de sequía/incendios.</t>
    </r>
  </si>
  <si>
    <t>T1=1: cambio incipiente de prácticas vía cumplimiento normativo; T2=2: articulación explícita comunidad–municipio–INAB/MAGA; T4=1: apunta a institucionalizar cumplimiento (sin mecanismos detallados de continuidad); T5=1: aborda drivers (tala/extracción) a escala de corredor; T6=1: fortalece reglas/enforcement sin crear un arreglo nuevo con mandato.</t>
  </si>
  <si>
    <t>B2.2 Falta de instrumentos de coordinación</t>
  </si>
  <si>
    <t>B3.3 Rigidez de paradigmas y resistencia cultural</t>
  </si>
  <si>
    <t>B2.2: el proyecto busca promover cumplimiento y coordinación interinstitucional (señal de instrumentos débiles); 
B4.1: debilidad institucional y capacidades para aplicar normativa y monitorear; 
B3.3: requiere cambios culturales en uso de bosque/agua y en cumplimiento.</t>
  </si>
  <si>
    <t>Cultivos resilientes al clima y coordinación interinstitucional</t>
  </si>
  <si>
    <t>Promoción de variedades nativas de frijol tolerantes a la sequía, junto con espacios de coordinación interinstitucional para movilizar apoyo técnico y financiero complementario para productoras y productores locales.</t>
  </si>
  <si>
    <t>Productores(as) de frijol de pequeños hogares rurales del corredor, cuya seguridad alimentaria depende del cultivo de frijol.</t>
  </si>
  <si>
    <t>Programas y proyectos de semillas, gobiernos locales, organizaciones de apoyo y personas consumidoras locales.</t>
  </si>
  <si>
    <t>AC05 Olas de calor / temperaturas extremas / incremento de temperatura</t>
  </si>
  <si>
    <t>ANC08 Desigualdad en acceso a recursos / pobreza extrema</t>
  </si>
  <si>
    <r>
      <rPr>
        <rFont val="Aptos Narrow"/>
        <color theme="1"/>
        <sz val="11.0"/>
      </rPr>
      <t xml:space="preserve">Contribuye a </t>
    </r>
    <r>
      <rPr>
        <rFont val="Aptos Narrow"/>
        <b/>
        <color theme="1"/>
        <sz val="11.0"/>
      </rPr>
      <t>seguridad alimentaria</t>
    </r>
    <r>
      <rPr>
        <rFont val="Aptos Narrow"/>
        <color theme="1"/>
        <sz val="11.0"/>
      </rPr>
      <t xml:space="preserve"> (frijol resiliente), </t>
    </r>
    <r>
      <rPr>
        <rFont val="Aptos Narrow"/>
        <b/>
        <color theme="1"/>
        <sz val="11.0"/>
      </rPr>
      <t>económica</t>
    </r>
    <r>
      <rPr>
        <rFont val="Aptos Narrow"/>
        <color theme="1"/>
        <sz val="11.0"/>
      </rPr>
      <t xml:space="preserve"> (estabilidad productiva/ingresos) y </t>
    </r>
    <r>
      <rPr>
        <rFont val="Aptos Narrow"/>
        <b/>
        <color theme="1"/>
        <sz val="11.0"/>
      </rPr>
      <t>comunitaria</t>
    </r>
    <r>
      <rPr>
        <rFont val="Aptos Narrow"/>
        <color theme="1"/>
        <sz val="11.0"/>
      </rPr>
      <t xml:space="preserve"> (sistemas locales y redes de apoyo); aporta a </t>
    </r>
    <r>
      <rPr>
        <rFont val="Aptos Narrow"/>
        <b/>
        <color theme="1"/>
        <sz val="11.0"/>
      </rPr>
      <t>seguridad política</t>
    </r>
    <r>
      <rPr>
        <rFont val="Aptos Narrow"/>
        <color theme="1"/>
        <sz val="11.0"/>
      </rPr>
      <t xml:space="preserve"> por la coordinación interinstitucional y reglas/criterios más transparentes para acceso a semillas y apoyos, reduciendo tensiones por distribución y exclusión.</t>
    </r>
  </si>
  <si>
    <t>T1=1: adopción parcial de cultivos más resilientes (variedades nativas de frijol); T2=2: espacios de coordinación para movilizar apoyo técnico/financiero; T3=1: innovación incremental (variedades adaptadas, posibles sistemas locales de semillas); T4=1: depende de continuidad de apoyo/semillas; T6=1: coordinación mejora reglas/procesos sin evidencia de cambio estructural formal.</t>
  </si>
  <si>
    <t>B3.1 Ausencia de justicia distributiva</t>
  </si>
  <si>
    <t>B1.3 Fallos en el escalamiento</t>
  </si>
  <si>
    <t>B2.2: necesidad de coordinación para movilizar apoyos evidencia instrumentos débiles; 
B3.1: riesgo de exclusión/captura en acceso a semillas/apoyos (se aborda con criterios más transparentes); 
B1.3: escalar variedades/semillas de piloto a sistema requiere pasar a reglas de elección colectiva/constitucional.</t>
  </si>
  <si>
    <t>El Salvador</t>
  </si>
  <si>
    <t>La Unión Sur</t>
  </si>
  <si>
    <t>ADEL La Unión</t>
  </si>
  <si>
    <t>Agricultura sostenible y sistemas de semillas criollas</t>
  </si>
  <si>
    <t>Capacitación en prácticas agrícolas sostenibles y rescate y conservación de semillas criollas, fortaleciendo la seguridad alimentaria y la capacidad adaptativa de familias de pequeña escala.</t>
  </si>
  <si>
    <t>Familias productoras de pequeña escala (granos básicos, hortalizas), con inclusión de mujeres y juventudes (incl. grupos en condición de vulnerabilidad) vinculadas a procesos de formación y rescate/conservación de semillas criollas.</t>
  </si>
  <si>
    <t>Personas</t>
  </si>
  <si>
    <t>Comunidades y organizaciones locales vinculadas (p. ej., juntas de agua, asociaciones de regantes, grupos comunitarios) y redes/actores que apoyan procesos agrícolas y de adaptación en el paisaje.</t>
  </si>
  <si>
    <t>AC03 Tormentas fuertes / eventos extremos</t>
  </si>
  <si>
    <t>ANC01 Contaminación de agua y/o suelo</t>
  </si>
  <si>
    <t>ANC04 Incendios antrópicos / fragmentación de bosques y hábitats</t>
  </si>
  <si>
    <t>ANC07 Mercados inestables / shocks de precios / inflación / comercio injusto</t>
  </si>
  <si>
    <t>Alimentaria y económica: fortalece la producción y disponibilidad de alimentos (granos/huertos) y reduce vulnerabilidad de ingresos al mejorar prácticas y autonomía productiva (semillas criollas). Ambiental: promueve prácticas sostenibles y conservación de agrobiodiversidad, reduciendo presiones asociadas a degradación/contaminación de suelo y agua.</t>
  </si>
  <si>
    <t>T1=1: transición incipiente hacia prácticas sostenibles/autonomía de semillas (sin evidencia de sustitución total); T2=1: redes locales mencionadas (juntas/actores), sin mecanismo detallado; T3=2: establecimiento/fortalecimiento de banco de semilla criolla y comités/CIAL; T4=2: acuerdos para uso de casas comunales como bodegas y gestión comunitaria del banco; T6=1: creación/fortalecimiento de arreglos locales (comités) sin mandato formal a nivel sistema.</t>
  </si>
  <si>
    <t>B4.4 Sostenibilidad financiera y de mercado</t>
  </si>
  <si>
    <t>B4.4: shocks de precios/mercados afectan sostenibilidad; semillas criollas reducen dependencia pero mercados siguen siendo barrera;
  B1.2: consolidar sistemas de semillas y prácticas toma varios ciclos agrícolas; 
 B4.1: requiere capacidades locales (manejo de banco, extensionismo, seguimiento).</t>
  </si>
  <si>
    <t>Manejo regenerativo del suelo y diversificación productiva</t>
  </si>
  <si>
    <t>Implementación de prácticas regenerativas de manejo de suelos (fertilización orgánica, rotación de cultivos, cultivos asociados) junto con el fomento de sistemas diversificados en granos básicos y horticultura (a través de escuelas de campo).</t>
  </si>
  <si>
    <t>Familias de pequeña escala que implementan prácticas regenerativas (abonos orgánicos, rotación, asocio) y diversificación productiva en granos básicos y horticultura mediante escuelas de campo.</t>
  </si>
  <si>
    <t>organizaciones</t>
  </si>
  <si>
    <t>Servicios/actores de apoyo técnico y aprendizaje local (intercambio/extensión) y mercados locales vinculados a la diversificación productiva.</t>
  </si>
  <si>
    <t>Alimentaria y económica: mejora estabilidad de producción (granos/horticultura) y reduce riesgo de pérdida por variabilidad climática, apoyando medios de vida familiares. Ambiental: recupera funcionalidad del suelo (materia orgánica/estructura), reduciendo erosión y degradación, y disminuye dependencia de insumos externos.</t>
  </si>
  <si>
    <t>T1=2: cambio de prácticas hacia manejo regenerativo del suelo y diversificación (reorienta modelo de manejo); T2=1: escuelas de campo/intercambio (alcance local); T3=1: innovación incremental (prácticas conocidas adaptadas); T4=1: continuidad depende de adopción y acompañamiento; T5=1: combina suelo + producción, pero principalmente a nivel parcela/familia.</t>
  </si>
  <si>
    <t>B3.3: transición a prácticas regenerativas suele enfrentar resistencia a abandonar insumos convencionales; 
 B4.1: requiere capacidades técnicas para manejo/monitoreo de suelos; 
 B1.2: recuperación de suelo y beneficios climáticos toman varios años vs ciclos cortos de proyectos.</t>
  </si>
  <si>
    <t>Sistemas agroforestales y organización comunitaria</t>
  </si>
  <si>
    <t>Implementación de sistemas agroforestales en parcelas familiares y zonas de recarga hidrica, apoyada por un vivero agroforestal comunitario, y fortalecimiento de organizaciones y liderazgos locales para la acción colectiva y la gobernanza de los recursos naturales, especialmente el agua.</t>
  </si>
  <si>
    <t>Familias con parcelas en el paisaje (incl. zonas de recarga) que implementan/enriquecen sistemas agroforestales y se articulan a procesos de vivero comunitario y gestión territorial.</t>
  </si>
  <si>
    <t>personas</t>
  </si>
  <si>
    <t>Liderazgos de juntas de agua y sociedad civil fortalecidos en organización comunitaria, asociatividad y gobernanza/gestión del recurso hídrico (más organizaciones locales vinculadas al proceso).</t>
  </si>
  <si>
    <t>Hídrica y ambiental: SAF en zonas de recarga + vivero comunitario contribuyen a proteger funciones ecosistémicas (suelo/agua/cobertura) frente a sequía y presión sobre recursos. Alimentaria y económica: diversificación productiva agroforestal fortalece medios de vida y disponibilidad de alimentos a nivel familiar. Comunitaria y política: el fortalecimiento de liderazgos/juntas de agua y la acción colectiva mejora reglas, coordinación y toma de decisiones para la gestión del agua y recursos naturales, reduciendo tensiones por acceso/uso.</t>
  </si>
  <si>
    <t>T1=2: transición hacia SAF en zonas de recarga (cambio de uso/manejo) + acción colectiva; T2=2: roles multinivel (familias–juntas de agua–liderazgos/organizaciones–gobernanza local); T3=1: vivero comunitario (innovación aplicada/replicable); T4=2: capacidades instaladas (liderazgos, organización) y estructura comunitaria para O&amp;M; T5=2: enfoque de recarga hídrica y gobernanza a escala de paisaje; T6=2: reestructura reglas/roles para gestión del agua a través de juntas/organización comunitaria.</t>
  </si>
  <si>
    <t>B4.6 Falta de liderazgo estratégico e innovación</t>
  </si>
  <si>
    <t>B2.2: se fortalece gobernanza/juntas de agua como respuesta a instrumentos débiles de coordinación; 
 B1.1: recarga y gestión hídrica requieren coordinación por paisaje/microcuenca; 
 B4.6: sostener cambios demanda liderazgo local y cultura de innovación para romper silos y mantener reglas.</t>
  </si>
  <si>
    <t>Colombia</t>
  </si>
  <si>
    <t>Llanura Aluvial del Sur – Rescate Las Varas (Tumaco)</t>
  </si>
  <si>
    <t>Corporación Biocomercio Sostenible (CBS)</t>
  </si>
  <si>
    <t>Agroforestería, cosecha de agua y manejo de suelos</t>
  </si>
  <si>
    <t>Enriquecimiento participativo de SAF de cacao con especies arbóreas de uso local, estructuras de cosecha de agua y prácticas agroecológicas de manejo de suelos para fortalecer servicios ecosistémicos, conectividad y producción resiliente.</t>
  </si>
  <si>
    <t>productores_as</t>
  </si>
  <si>
    <t>Productores(as) afrodescendientes de cacao (agricultura familiar/campesina; enfoque agroecológico o tradicional).</t>
  </si>
  <si>
    <t>Consejo Comunitario Rescate Las Varas; Corpoteva; Agrosavia; Fundación Ayuda en Acción; Fedecacao (asistencia técnica y articulación).</t>
  </si>
  <si>
    <t>AC04 Inundaciones</t>
  </si>
  <si>
    <t>Ambiental: mejora servicios ecosistémicos y conectividad del paisaje mediante SAF. Hídrica: incorpora cosecha de agua y reduce presión sobre fuentes. Económica: reduce pérdidas productivas y estabiliza ingresos del cacao ante extremos climáticos.</t>
  </si>
  <si>
    <t>T1(1): transición parcial hacia cacao bajo SAF enriquecido + manejo agroecológico del suelo/agua (sin evidencia de sustitución total del modelo dominante en el paisaje). T2(1): hay articulación productorxs–Consejo Comunitario–asistencia técnica (p. ej., Agrosavia/Fedecacao/Ayuda en Acción), pero sin mecanismo multinivel formal descrito. T3(0): se describen prácticas conocidas (SAF/cosecha de agua/manejo de suelos) sin herramienta/mecanismo claramente novedoso en el texto. T4(1): enfoque participativo + soporte de instituciones sugiere continuidad, pero no se detalla plan de O&amp;M/financiamiento de largo plazo. T5(0): intervención principalmente parcelaria/productiva, sin lógica explícita de sistema más allá de “conectividad”. T6(0): no se evidencia cambio en reglas/mandatos/arreglos de decisión.</t>
  </si>
  <si>
    <t>B2.2: la implementación requiere coordinación entre Consejo Comunitario, asistencia técnica y actores sectoriales; el reto típico es la ausencia/debilidad de instrumentos que ordenen colaboración y trade-offs (agua/uso del suelo).
 B4.2: SAF + cosecha de agua implican inversión y costos iniciales; el reto es acceso a financiamiento/instrumentos para sostener adopción. 
 B4.1: la puesta en práctica y el seguimiento dependen de capacidades técnicas locales y extensión; el reto es capacidad institucional (local/regional) para acompañar, monitorear y escalar aprendizajes.</t>
  </si>
  <si>
    <t>Restauración de manglar y pesquería sostenible de piangua</t>
  </si>
  <si>
    <t>Mapeo y priorización de bancos de piangua, diseño e implementación de estrategia de manejo comunitario y restauración pasiva de manglar para recuperar funciones ecosistémicas costeras y sostener medios de vida locales.</t>
  </si>
  <si>
    <t>Familias (principalmente mujeres afrodescendientes) dedicadas a la extracción de piangua; articuladas con la Asociación Raíces del Manglar.</t>
  </si>
  <si>
    <t>Consejo Comunitario Rescate Las Varas; Asociación Raíces del Manglar; AUNAP; CORPONARIÑO (gobernanza y control del recurso).</t>
  </si>
  <si>
    <t>AC10 Mareas extremas / marejadas / aumento del nivel del mar</t>
  </si>
  <si>
    <t>Pérdida de Biodiversidad (ILE FALTA INCLUIR EN CODEBOOK)</t>
  </si>
  <si>
    <t>ANC17 Pesca no regulada / sobreexplotación</t>
  </si>
  <si>
    <t>ANC22 Presencia de grupos armados / violencia / economías ilícitas</t>
  </si>
  <si>
    <t>Ambiental: recuperación de manglar y funciones costeras. Alimentaria: la piangua es base alimentaria local. Económica: sostiene ingresos de piangüeras y mejora sostenibilidad del “negocio verde”. Comunitaria: requiere acuerdos, cumplimiento y manejo comunitario del recurso para reducir tensiones.</t>
  </si>
  <si>
    <t>T1(1): cambio parcial desde extracción/uso del recurso hacia manejo comunitario (bancos priorizados) + restauración pasiva (cambio de práctica, aún en proceso). T2(0): se reportan instituciones (AUNAP/CORPONARIÑO), pero no se explicita un diseño multinivel (roles por escala + mecanismo operativo) en esta combinación. T3(1): mapeo/priorización de bancos + estrategia de manejo comunitario son mecanismos operativos diferenciadores frente a la práctica habitual. T4(1): el manejo comunitario y la restauración pasiva apuntan a permanencia, pero falta detalle de instrumentos vinculantes/financiamiento y O&amp;M. T5(1): aborda un sistema costero (manglar–pesquería) con lógica ecosistémica y medios de vida. T6(0): no se describe una reestructuración formal de reglas/mandatos; se plantea “estrategia de manejo” sin evidencia de nuevos arreglos vinculantes.</t>
  </si>
  <si>
    <t>B4.5 Aprendizaje y adaptación sistémica</t>
  </si>
  <si>
    <t>B3.1: la cadena de valor de piangua (con mujeres como actor clave) suele enfrentar captura/desigualdad; el reto es asegurar distribución justa y protección de medios de vida. 
 B2.2: la sostenibilidad requiere instrumentos de coordinación y cumplimiento entre Consejo Comunitario y entes competentes (control/regulación). 
 B4.5: el manejo de bancos y la restauración requieren monitoreo, aprendizaje y ajustes periódicos (feedback adaptativo) para responder a cambios ecológicos y presiones (incl. sobreexplotación/violencia).</t>
  </si>
  <si>
    <t>Sistemas agroalimentarios y fortalecimiento de capacidades locales</t>
  </si>
  <si>
    <t>Implementación de huertos agroalimentarios diversificados vinculados a parcelas agroforestales, con formación técnica/tradicional y facilitación local para mejorar seguridad alimentaria-nutricional y fortalecer gobernanza comunitaria e incidencia.</t>
  </si>
  <si>
    <t>Personas capacitadas en prácticas agroecológicas y manejo de clones locales; incluye formación de 2 facilitadores comunitarios.</t>
  </si>
  <si>
    <t>Consejo Comunitario y redes locales para incidencia en justicia climática y paz territorial; articulación con espacios/instituciones regionales (p. ej., APP cacao).</t>
  </si>
  <si>
    <t>Alimentaria: huertos diversificados y enfoque nutricional. Económica: diversificación y capacidades para sostener medios de vida (reducción de vulnerabilidad a shocks). Comunitaria: fortalece liderazgo/facilitación y gobernanza local. Política: promueve incidencia en justicia climática y construcción de paz territorial. Ambiental: prácticas agroecológicas y articulación con manejo del paisaje.</t>
  </si>
  <si>
    <t>Formación técnica/tradicional; 2 facilitadores comunitarios; articulación con Consejo Comunitario y redes para incidencia; conexión huertos–parcelas agroforestales; enfoque en justicia climática y paz territorial.</t>
  </si>
  <si>
    <t>4.1 Baja capacidad institucional</t>
  </si>
  <si>
    <t>4.5 Aprendizaje y adaptación sistémica</t>
  </si>
  <si>
    <t>3.2 Falta de participación genuina</t>
  </si>
  <si>
    <t>Brecha_1(4.1): se atiende explícitamente mediante formación y facilitadores, evidenciando reto de capacidad técnica/humana local. Brecha_2(4.5): la lógica de huertos/agroecología requiere aprendizaje y ajuste continuo frente a variabilidad climática y shocks de mercado. Brecha_3(3.2): el énfasis en fortalecer gobernanza comunitaria e incidencia responde a limitaciones típicas de participación efectiva/co-creación y legitimidad en decisiones territoriales.</t>
  </si>
  <si>
    <t>Honduras</t>
  </si>
  <si>
    <t>AP El Jicarito (Namasigüe y Choluteca)</t>
  </si>
  <si>
    <t>CODDEFFAGOLF</t>
  </si>
  <si>
    <t>Restauración hidrológica y manejo pesquero sostenible</t>
  </si>
  <si>
    <t>Rehabilitación hidrológica del sistema lagunar mediante limpieza, reapertura y mejora de canales naturales y del ingreso de agua a la laguna invernal de Guapinol, combinada con monitoreo comunitario de calidad de agua (incl. índice TRIX) y promoción de buenas prácticas pesqueras entre pesca artesanal.</t>
  </si>
  <si>
    <t>Pescadores(as) artesanales que realizan sus faenas en lagunas de invierno y esteros; hogares cuya seguridad alimentaria y económica depende de la pesca.</t>
  </si>
  <si>
    <t>Comunidades del paisaje (zona costera–parte alta) y estructuras comunitarias (p. ej., comités de gestión), además de co-manejadores e instituciones aliadas para la gestión del AP (ICF, municipalidades/UMAs, DIGEPESCA, comité técnico de co-manejo, UNAH, entre otras).</t>
  </si>
  <si>
    <t xml:space="preserve">ANC01 contaminación </t>
  </si>
  <si>
    <t>Contribuye a seguridad hídrica y sanitaria al mejorar caudal/calidad del agua (TRIX) y el funcionamiento del sistema lagunar; fortalece seguridad alimentaria y económica al sostener la pesca artesanal; aporta a seguridad ambiental por restauración hidrológica/ecosistémica; refuerza seguridad comunitaria y política mediante co-manejo y espacios de diálogo/acuerdos para prevenir/gestionar conflictos por uso de recursos.</t>
  </si>
  <si>
    <t>T1: orienta el manejo hacia restauración del sistema lagunar + regulación de prácticas pesqueras basada en evidencia (TRIX). T2: articulación comunidad–academia–instituciones (ICF/UMAs/DIGEPESCA/UNAH) vía co-manejo. T3: índice TRIX + monitoreo comunitario como innovación operativa para decisión. T4: condiciones de continuidad vía monitoreo, comités y acuerdos (sin detalle pleno de financiamiento/O&amp;M). T5: aborda el sistema lagunar (hidrología + calidad + pesca) a escala de paisaje. T6: co-manejo y espacios de diálogo ajustan reglas-en-uso y roles.</t>
  </si>
  <si>
    <t>B4.5 Aprendizaje y adaptación sistémica (failure of adaptive feedback)</t>
  </si>
  <si>
    <t>B2.2 Falta de instrumentos de coordinación: requiere coordinación multi-actor (comité técnico de co-manejo, instituciones y comunidad) para alinear decisiones y prácticas; sin instrumentos/plataformas, la acción se fragmenta. B4.5 Aprendizaje y adaptación sistémica: el TRIX/monitoreo se plantea para seguimiento y ajuste de decisiones (feedback adaptativo), evidenciando la necesidad de institucionalizar M&amp;E y ajustes de reglas. B4.1 Baja capacidad institucional: incluye formación/acompañamiento y alianzas técnicas para monitoreo y gestión, reflejando brechas de capacidades técnicas y operativas locales.</t>
  </si>
  <si>
    <t>Gestión integral de microcuenca y sistemas productivos resilientes</t>
  </si>
  <si>
    <t>Desarrollo e implementación de un plan de manejo integrado de la microcuenca Gallardo, con monitoreo comunitario (enfoque de ciencia ciudadana), fortalecimiento de estructuras de gobernanza y plataformas de diálogo, e implementación de sistemas agropecuarios resilientes mediante fincas de referencia, planes de finca y escuelas de campo con énfasis en conservación de suelo y agua y manejo de cultivos y ganadería.</t>
  </si>
  <si>
    <t>Productores(as) agrícolas de pequeña escala, pequeños ganaderos y colectivos locales (mujeres y jóvenes) vinculados a la microcuenca Gallardo.</t>
  </si>
  <si>
    <t>Comunidades del paisaje y estructuras comunitarias (patronatos, juntas de agua, comités), además de instituciones y aliados para planificación/gestión (ICF, SERNA, UMAs, UNAH, SAG, etc.).</t>
  </si>
  <si>
    <t>Contribuye a seguridad hídrica, sanitaria y ambiental al ordenar la gestión de microcuenca con monitoreo comunitario/ciencia ciudadana y acciones de conservación (suelo/agua); fortalece seguridad alimentaria y económica al mejorar resiliencia de sistemas agropecuarios (fincas de referencia, planes de finca, escuelas de campo); refuerza seguridad comunitaria y política al robustecer estructuras de gobernanza, plataformas de diálogo, incidencia y acuerdos para gestionar conflictos y decisiones sobre el territorio.</t>
  </si>
  <si>
    <t>T1=1: pasa de acciones puntuales a una trayectoria planificada (plan de microcuenca + planes de finca). T2=1: coordinación multi-nivel (comunidades–instituciones–academia) mediante plataformas de diálogo. T3=1: ciencia ciudadana/monitoreo como innovación habilitante para decisiones basadas en evidencia. T4=1: condiciones de permanencia vía plan + seguimiento + formación (fincas de referencia/escuelas de campo). T5=1: enfoque integral microcuenca (agua–suelo–producción–gobernanza). T6=1: instrumentos/plataformas reconfiguran reglas/roles para decisión territorial.</t>
  </si>
  <si>
    <t>B2.2 Falta de instrumentos de coordinación: el plan de microcuenca y plataformas de diálogo actúan como instrumentos para alinear decisiones y actores (juntas de agua, patronatos, instituciones). B4.5 Aprendizaje y adaptación sistémica: monitoreo comunitario/ciencia ciudadana se diseña para seguimiento y ajuste del plan (retroalimentación para adaptar reglas-en-uso). B4.1 Baja capacidad institucional: formación, fincas de referencia y escuelas de campo evidencian la necesidad de capacidades técnicas/organizativas para implementar y sostener el enfoque.</t>
  </si>
  <si>
    <t>México</t>
  </si>
  <si>
    <t>Microcuenca San Miguel–Tolán (Corazón del Valle)</t>
  </si>
  <si>
    <t>Cecropia</t>
  </si>
  <si>
    <t>Restauración forestal integral en áreas de aprovechamiento no forestal</t>
  </si>
  <si>
    <t>Restauración integral asistida en áreas de aprovechamiento no forestal afectadas por incendios, plagas o degradación, implementada mediante grupos comunitarios de trabajo y apoyada por conocimientos locales y técnicos.</t>
  </si>
  <si>
    <t>Familias de Corazón del Valle (medios de vida: resina y agricultura), incluyendo familias tsotsil; dueñas/os de parcelas donde se implementan acciones.</t>
  </si>
  <si>
    <t>Asambleas ejidales y comunitarias; Consejo Autónomo de la Microcuenca San Miguel–Tolán; empresas comunitarias resineras; grupo de mujeres; grupo de trabajo agrícola; escuelas.</t>
  </si>
  <si>
    <t>ANC20 Plagas o pandemias</t>
  </si>
  <si>
    <r>
      <rPr>
        <rFont val="Aptos Narrow"/>
        <color theme="1"/>
        <sz val="11.0"/>
      </rPr>
      <t xml:space="preserve">Contribuye a </t>
    </r>
    <r>
      <rPr>
        <rFont val="Aptos Narrow"/>
        <b/>
        <color theme="1"/>
        <sz val="11.0"/>
      </rPr>
      <t>seguridad ambiental e hídrica</t>
    </r>
    <r>
      <rPr>
        <rFont val="Aptos Narrow"/>
        <color theme="1"/>
        <sz val="11.0"/>
      </rPr>
      <t xml:space="preserve"> al recuperar cobertura/funciones ecosistémicas en microcuenca; fortalece </t>
    </r>
    <r>
      <rPr>
        <rFont val="Aptos Narrow"/>
        <b/>
        <color theme="1"/>
        <sz val="11.0"/>
      </rPr>
      <t>seguridad económica</t>
    </r>
    <r>
      <rPr>
        <rFont val="Aptos Narrow"/>
        <color theme="1"/>
        <sz val="11.0"/>
      </rPr>
      <t xml:space="preserve"> al proteger medios de vida (resina/agricultura); refuerza </t>
    </r>
    <r>
      <rPr>
        <rFont val="Aptos Narrow"/>
        <b/>
        <color theme="1"/>
        <sz val="11.0"/>
      </rPr>
      <t>seguridad comunitaria y política</t>
    </r>
    <r>
      <rPr>
        <rFont val="Aptos Narrow"/>
        <color theme="1"/>
        <sz val="11.0"/>
      </rPr>
      <t xml:space="preserve"> mediante acción colectiva y articulación con estructuras locales (asambleas/Consejo) para sostener acuerdos territoriales.</t>
    </r>
  </si>
  <si>
    <t>T1=1: prioriza restauración integral post-incendio/plaga como cambio de rumbo frente a degradación recurrente. T2=1: opera con articulación comunitaria (asambleas/Consejo Autónomo) y grupos de trabajo. T3=0: no se describe un mecanismo novedoso específico (más allá de restauración asistida). T4=1: se apoya en estructuras comunitarias existentes, sin detalle pleno de financiamiento de largo plazo. T5=1: enfoque de microcuenca y múltiples áreas afectadas. T6=1: Consejo/asambleas sostienen acuerdos y reglas comunitarias para implementación.</t>
  </si>
  <si>
    <t>B1.4 Fragmentación de la propiedad y derechos de uso</t>
  </si>
  <si>
    <t>B1.4 Fragmentación de la propiedad y derechos de uso: la restauración ocurre en múltiples parcelas/tenencias, requiriendo reglas operacionales de coordinación y acuerdos para sostener acciones. B2.2 Falta de instrumentos de coordinación: la implementación depende de asambleas ejidales y Consejo Autónomo como plataforma; sin instrumentos, la restauración no se alinea ni escala. B4.1 Baja capacidad institucional: demanda capacidades comunitarias/técnicas para restauración post-incendio/plaga, control de tala y mantenimiento.</t>
  </si>
  <si>
    <t>Parcela agroecológica y restauración de suelos</t>
  </si>
  <si>
    <t>Parcela agroecológica integral con prácticas de restauración de suelos, ciclos diversificados de cultivo y uso de bioinsumos para atender erosión, pérdida de nutrientes, plagas y enfermedades, fortaleciendo medios de vida agrícolas.</t>
  </si>
  <si>
    <t>Familias que implementan la parcela integral y prácticas (restauración de suelos, ciclos productivos, atención a plagas/enfermedades).</t>
  </si>
  <si>
    <t>Consejo Autónomo y comunidades de la microcuenca (demostración/replicabilidad); actores locales organizados.</t>
  </si>
  <si>
    <r>
      <rPr>
        <rFont val="Aptos Narrow"/>
        <color theme="1"/>
        <sz val="11.0"/>
      </rPr>
      <t xml:space="preserve">Aporta a </t>
    </r>
    <r>
      <rPr>
        <rFont val="Aptos Narrow"/>
        <b/>
        <color theme="1"/>
        <sz val="11.0"/>
      </rPr>
      <t>seguridad alimentaria y económica</t>
    </r>
    <r>
      <rPr>
        <rFont val="Aptos Narrow"/>
        <color theme="1"/>
        <sz val="11.0"/>
      </rPr>
      <t xml:space="preserve"> al sostener producción diversificada con menor vulnerabilidad; mejora </t>
    </r>
    <r>
      <rPr>
        <rFont val="Aptos Narrow"/>
        <b/>
        <color theme="1"/>
        <sz val="11.0"/>
      </rPr>
      <t>seguridad ambiental e hídrica</t>
    </r>
    <r>
      <rPr>
        <rFont val="Aptos Narrow"/>
        <color theme="1"/>
        <sz val="11.0"/>
      </rPr>
      <t xml:space="preserve"> al recuperar suelos y retención de humedad; fortalece </t>
    </r>
    <r>
      <rPr>
        <rFont val="Aptos Narrow"/>
        <b/>
        <color theme="1"/>
        <sz val="11.0"/>
      </rPr>
      <t>seguridad comunitaria</t>
    </r>
    <r>
      <rPr>
        <rFont val="Aptos Narrow"/>
        <color theme="1"/>
        <sz val="11.0"/>
      </rPr>
      <t xml:space="preserve"> al funcionar como parcela demostrativa y base de aprendizaje/replicabilidad en la microcuenca.</t>
    </r>
  </si>
  <si>
    <t>T1=1: desplaza prácticas convencionales hacia agroecología/bioinsumos y restauración de suelos. T2=1: se conecta con Consejo Autónomo y difusión comunitaria (demostración). T3=1: bioinsumos + diseño integral como innovación contextual (a escala de parcela). T4=1: intención de réplica vía demostración, sin detalle pleno de incentivos/recursos de permanencia. T5=1: aporta al conjunto del paisaje como nodo de aprendizaje replicable. T6=0: no se describen cambios explícitos en reglas/instrumentos, más allá de adopción en parcela.</t>
  </si>
  <si>
    <t>B4.3 Conocimiento e incertidumbre</t>
  </si>
  <si>
    <t>B2.3 Valoración incompleta</t>
  </si>
  <si>
    <t>B4.1 Baja capacidad institucional: requiere formación/acompañamiento para prácticas agroecológicas, bioinsumos y manejo de suelos. B4.3 Conocimiento e incertidumbre: manejo de plagas/suelos bajo variabilidad climática implica incertidumbre e integración de saberes locales/técnicos en prácticas y reglas operacionales. B2.3 Valoración incompleta: los co-beneficios (suelo/agua) suelen no ser plenamente valorados por sistemas de decisión/extensionismo, limitando adopción y escalamiento.</t>
  </si>
  <si>
    <t>Monitoreo comunitario</t>
  </si>
  <si>
    <t>Creación y formación de un grupo comunitario de monitoreo para medir indicadores biofísicos y químicos en parcelas restauradas y sistematizar resultados con herramientas digitales (p. ej., plataforma HUMANA).</t>
  </si>
  <si>
    <t>Personas capacitadas para monitorear indicadores biofísicos y químicos en sitios con acciones.</t>
  </si>
  <si>
    <t>Consejo Autónomo (seguimiento y toma de decisiones), asambleas y comunidades de la microcuenca.</t>
  </si>
  <si>
    <r>
      <rPr>
        <rFont val="Aptos Narrow"/>
        <color theme="1"/>
        <sz val="11.0"/>
      </rPr>
      <t xml:space="preserve">Aporta a </t>
    </r>
    <r>
      <rPr>
        <rFont val="Aptos Narrow"/>
        <b/>
        <color theme="1"/>
        <sz val="11.0"/>
      </rPr>
      <t>seguridad ambiental e hídrica</t>
    </r>
    <r>
      <rPr>
        <rFont val="Aptos Narrow"/>
        <color theme="1"/>
        <sz val="11.0"/>
      </rPr>
      <t xml:space="preserve"> al generar evidencia para manejo adaptativo; fortalece </t>
    </r>
    <r>
      <rPr>
        <rFont val="Aptos Narrow"/>
        <b/>
        <color theme="1"/>
        <sz val="11.0"/>
      </rPr>
      <t>seguridad comunitaria</t>
    </r>
    <r>
      <rPr>
        <rFont val="Aptos Narrow"/>
        <color theme="1"/>
        <sz val="11.0"/>
      </rPr>
      <t xml:space="preserve"> al sostener seguimiento social; contribuye a </t>
    </r>
    <r>
      <rPr>
        <rFont val="Aptos Narrow"/>
        <b/>
        <color theme="1"/>
        <sz val="11.0"/>
      </rPr>
      <t>seguridad política</t>
    </r>
    <r>
      <rPr>
        <rFont val="Aptos Narrow"/>
        <color theme="1"/>
        <sz val="11.0"/>
      </rPr>
      <t xml:space="preserve"> al mejorar capacidades locales para decisión, rendición de cuentas y cumplimiento a partir de información sistematizada.</t>
    </r>
  </si>
  <si>
    <t>T1=1: habilita manejo basado en evidencia (monitoreo) para ajustar trayectoria de restauración. T2=1: conecta grupo de monitoreo con Consejo Autónomo y asambleas (uso de resultados para decisión). T3=1: herramientas digitales (p. ej., HUMANA) como innovación práctica para sistematización. T4=1: fortalece capacidades instaladas, sin claridad total de permanencia post-proyecto. T5=1: monitoreo orientado a varias parcelas/sitios de la microcuenca (retroalimentación territorial). T6=1: información sistematizada fortalece rendición de cuentas y cumplimiento, ajustando reglas-en-uso.</t>
  </si>
  <si>
    <t>B2.4 Conflicto y fragmentación de conocimiento</t>
  </si>
  <si>
    <t>B4.5 Aprendizaje y adaptación sistémica: el componente crea feedback adaptativo (medición–sistematización–decisión). B4.1 Baja capacidad institucional: requiere capacidades técnicas y recursos para medir, registrar y analizar datos. B2.4 Conflicto y fragmentación de conocimiento: integra conocimiento local/técnico y puede enfrentar desacuerdos sobre interpretación/uso de evidencia, demandando reglas/plataformas para acordar decisiones.</t>
  </si>
  <si>
    <t>Formación de capacidades con enfoque de género y juventud</t>
  </si>
  <si>
    <t>Capacitación para grupos comunitarios forestales y de agroecología, promoviendo participación y liderazgo de mujeres y juventudes, formando formadoras/es locales para las SbN implementadas.</t>
  </si>
  <si>
    <t>Personas de comunidades que integran grupos de trabajo (forestal y agroecología), con énfasis en mujeres y jóvenes.</t>
  </si>
  <si>
    <t>Consejo Autónomo (reconocimiento y replicación), técnicos/as comunitarios/as y otras comunidades de la microcuenca.</t>
  </si>
  <si>
    <t>ANC14 Estructuras de gobernanza excluyentes</t>
  </si>
  <si>
    <r>
      <rPr>
        <rFont val="Aptos Narrow"/>
        <color theme="1"/>
        <sz val="11.0"/>
      </rPr>
      <t xml:space="preserve">Contribuye a </t>
    </r>
    <r>
      <rPr>
        <rFont val="Aptos Narrow"/>
        <b/>
        <color theme="1"/>
        <sz val="11.0"/>
      </rPr>
      <t>seguridad comunitaria</t>
    </r>
    <r>
      <rPr>
        <rFont val="Aptos Narrow"/>
        <color theme="1"/>
        <sz val="11.0"/>
      </rPr>
      <t xml:space="preserve"> al fortalecer cohesión/acción colectiva; a </t>
    </r>
    <r>
      <rPr>
        <rFont val="Aptos Narrow"/>
        <b/>
        <color theme="1"/>
        <sz val="11.0"/>
      </rPr>
      <t>seguridad política</t>
    </r>
    <r>
      <rPr>
        <rFont val="Aptos Narrow"/>
        <color theme="1"/>
        <sz val="11.0"/>
      </rPr>
      <t xml:space="preserve"> al ampliar inclusión y liderazgo (mujeres/juventudes) en estructuras locales; y a </t>
    </r>
    <r>
      <rPr>
        <rFont val="Aptos Narrow"/>
        <b/>
        <color theme="1"/>
        <sz val="11.0"/>
      </rPr>
      <t>seguridad económica</t>
    </r>
    <r>
      <rPr>
        <rFont val="Aptos Narrow"/>
        <color theme="1"/>
        <sz val="11.0"/>
      </rPr>
      <t xml:space="preserve"> al mejorar capacidades para sostener medios de vida resilientes vinculados a las SbN.</t>
    </r>
  </si>
  <si>
    <t>T1=0: componente habilitador (capacidades), sin evidencia directa de cambio de trayectoria biofísica por sí solo. T2=1: se articula con Consejo Autónomo y redes comunitarias. T3=1: formación de formadoras/es + enfoque de género/juventud como innovación social/institucional contextual. T4=1: instala liderazgo/capacidades locales (condición de permanencia), sin detalle pleno de recursos continuos. T5=0: no describe un cambio sistémico biofísico a escala de paisaje. T6=1: incide en reglas de participación y representación (inclusión) dentro de estructuras comunitarias.</t>
  </si>
  <si>
    <t>B3.2 Falta de participación genuina</t>
  </si>
  <si>
    <t>B3.2 Falta de participación genuina: responde a dinámicas consultivas/excluyentes, abriendo espacios reales de liderazgo para mujeres/juventudes. B3.3 Rigidez de paradigmas y resistencia cultural: apunta a superar resistencias a cambios en roles y en prácticas (forestal/agroecología). B4.1 Baja capacidad institucional: evidencia necesidad de fortalecer capacidades técnicas/organizativas locales para sostener implementación y seguimiento de SbN.</t>
  </si>
  <si>
    <t>Educación ambiental y apropiación social</t>
  </si>
  <si>
    <t>Sensibilización y educación con niñez y juventudes en escuelas locales, intercambios comunitarios y mural colectivo para comunicar la importancia de las SbN y fortalecer apropiación social del piloto.</t>
  </si>
  <si>
    <t>3 escuelas de primaria (mural con infancias y juventudes de Corazón del Valle).</t>
  </si>
  <si>
    <t>Comunidades de la microcuenca (intercambios y difusión), Consejo Autónomo y actores comunitarios/institucionales convocados a eventos.</t>
  </si>
  <si>
    <t>ANC13 Migración y pérdida de mano de obra / ruptura generacional</t>
  </si>
  <si>
    <r>
      <rPr>
        <rFont val="Aptos Narrow"/>
        <color theme="1"/>
        <sz val="11.0"/>
      </rPr>
      <t xml:space="preserve">Aporta a </t>
    </r>
    <r>
      <rPr>
        <rFont val="Aptos Narrow"/>
        <b/>
        <color theme="1"/>
        <sz val="11.0"/>
      </rPr>
      <t>seguridad comunitaria</t>
    </r>
    <r>
      <rPr>
        <rFont val="Aptos Narrow"/>
        <color theme="1"/>
        <sz val="11.0"/>
      </rPr>
      <t xml:space="preserve"> al fortalecer cohesión, confianza y corresponsabilidad; a </t>
    </r>
    <r>
      <rPr>
        <rFont val="Aptos Narrow"/>
        <b/>
        <color theme="1"/>
        <sz val="11.0"/>
      </rPr>
      <t>seguridad ambiental</t>
    </r>
    <r>
      <rPr>
        <rFont val="Aptos Narrow"/>
        <color theme="1"/>
        <sz val="11.0"/>
      </rPr>
      <t xml:space="preserve"> al promover cambios de comportamiento y cuidado del territorio; y a </t>
    </r>
    <r>
      <rPr>
        <rFont val="Aptos Narrow"/>
        <b/>
        <color theme="1"/>
        <sz val="11.0"/>
      </rPr>
      <t>seguridad política</t>
    </r>
    <r>
      <rPr>
        <rFont val="Aptos Narrow"/>
        <color theme="1"/>
        <sz val="11.0"/>
      </rPr>
      <t xml:space="preserve"> al aumentar legitimidad social del piloto y condiciones para sostener acuerdos/seguimiento en el tiempo (especialmente frente a ruptura generacional).</t>
    </r>
  </si>
  <si>
    <t>T1=0: sensibilización (sin evidencia directa de cambio de trayectoria por sí sola). T2=1: vincula escuelas, comunidades y Consejo Autónomo (apropiación social territorial). T3=1: herramientas de comunicación social (mural/intercambios) como innovación de movilización comunitaria contextual. T4=1: apuesta por permanencia vía apropiación social y relevo generacional, sin mecanismo formal de financiamiento. T5=0: alcance focalizado (educativo/comunicacional). T6=0: no describe cambios explícitos en reglas/instrumentos, más allá de legitimidad social.</t>
  </si>
  <si>
    <t>B4.6 Falta de liderazgo estratégico y capacidad de innovación</t>
  </si>
  <si>
    <t>B3.3 Rigidez de paradigmas y resistencia cultural: trabaja cambio de valores/creencias sobre el bosque y la microcuenca (de uso extractivo a cuidado/infraestructura ecosistémica). B4.6 Falta de liderazgo estratégico y capacidad de innovación: busca cultivar liderazgo y cultura de innovación desde juventudes para sostener cambios y evitar reversión. B3.2 Falta de participación genuina: promueve participación activa y apropiación social (no solo “informar”), fortaleciendo legitimidad para acuerdos territoriales.</t>
  </si>
  <si>
    <t>Bosque Nuboso Candacuchex / San Marcos</t>
  </si>
  <si>
    <t>ECO</t>
  </si>
  <si>
    <t>Restauración de recarga hídrica, viveros y gobernanza comunitaria del agua</t>
  </si>
  <si>
    <r>
      <rPr>
        <rFont val="Aptos Narrow"/>
        <color theme="1"/>
        <sz val="11.0"/>
      </rPr>
      <t xml:space="preserve">Restauración asistida de zonas de recarga en cinco parques regionales con especies nativas; fortalecimiento de viveros forestales municipales; </t>
    </r>
    <r>
      <rPr>
        <rFont val="Aptos Narrow"/>
        <color rgb="FFFF0000"/>
        <sz val="11.0"/>
      </rPr>
      <t>estufas ahorradoras de leña</t>
    </r>
    <r>
      <rPr>
        <rFont val="Aptos Narrow"/>
        <color theme="1"/>
        <sz val="11.0"/>
      </rPr>
      <t>, consolidación de redes de comités comunitarios de agua; fortalecimiento de gobernanza de parques; e incidencia para desarrollar/aprobar reglamentos sobre uso y administración de tierras municipales.</t>
    </r>
  </si>
  <si>
    <t>Familias aledañas a los 5 parques regionales municipales (incluye hogares que usan estufas mejoradas); integrantes de comités/juntas de agua fortalecidas en red; guardarecursos y personal técnico vinculado a gobernanza; personal municipal asociado a viveros.</t>
  </si>
  <si>
    <t>Comunidades</t>
  </si>
  <si>
    <t>Municipalidades y autoridades tomadoras de decisión vinculadas a incidencia; entes rectores y aliados técnicos para gestión de áreas protegidas y recursos naturales.</t>
  </si>
  <si>
    <t>ANC11 Falta de planificación pública sostenible</t>
  </si>
  <si>
    <r>
      <rPr>
        <rFont val="Aptos Narrow"/>
        <color theme="1"/>
        <sz val="11.0"/>
      </rPr>
      <t xml:space="preserve">Aporta a </t>
    </r>
    <r>
      <rPr>
        <rFont val="Aptos Narrow"/>
        <b/>
        <color theme="1"/>
        <sz val="11.0"/>
      </rPr>
      <t>seguridad hídrica y ambiental</t>
    </r>
    <r>
      <rPr>
        <rFont val="Aptos Narrow"/>
        <color theme="1"/>
        <sz val="11.0"/>
      </rPr>
      <t xml:space="preserve"> al restaurar recarga y fortalecer viveros/parques; contribuye a </t>
    </r>
    <r>
      <rPr>
        <rFont val="Aptos Narrow"/>
        <b/>
        <color theme="1"/>
        <sz val="11.0"/>
      </rPr>
      <t>seguridad comunitaria</t>
    </r>
    <r>
      <rPr>
        <rFont val="Aptos Narrow"/>
        <color theme="1"/>
        <sz val="11.0"/>
      </rPr>
      <t xml:space="preserve"> al consolidar redes de comités de agua; y a </t>
    </r>
    <r>
      <rPr>
        <rFont val="Aptos Narrow"/>
        <b/>
        <color theme="1"/>
        <sz val="11.0"/>
      </rPr>
      <t>seguridad política</t>
    </r>
    <r>
      <rPr>
        <rFont val="Aptos Narrow"/>
        <color theme="1"/>
        <sz val="11.0"/>
      </rPr>
      <t xml:space="preserve"> al impulsar reglamentos y capacidades municipales para gobernanza de tierras/recursos (reduciendo vacíos normativos y conflictos por uso). También incide en </t>
    </r>
    <r>
      <rPr>
        <rFont val="Aptos Narrow"/>
        <b/>
        <color theme="1"/>
        <sz val="11.0"/>
      </rPr>
      <t>seguridad económica</t>
    </r>
    <r>
      <rPr>
        <rFont val="Aptos Narrow"/>
        <color theme="1"/>
        <sz val="11.0"/>
      </rPr>
      <t xml:space="preserve"> al proteger bases ecológicas de medios de vida locales (agua/energía doméstica).</t>
    </r>
  </si>
  <si>
    <t>T1=2: restauración de recarga + gobernanza (parques/agua) e incidencia normativa reorientan manejo territorial; T2=2: coordina entre parques municipales–municipalidades–redes de comités/juntas de agua–hogares; T3=1: innovación organizativa (red de comités) y operativa (viveros/parques) sin componente tecnológico distintivo; T4=2: permanencia vía reglamentos de tierras municipales + capacidades municipales (viveros) + estructuras de gobernanza; T5=2: lógica de paisaje/microcuenca (5 parques + redes de agua) integrando biofísico y gobernanza; T6=2: reglamentos y gobernanza de parques/tierras reconfiguran reglas y responsabilidades.</t>
  </si>
  <si>
    <t>B1.1 – Rigidez institucional vs. escala ecológica</t>
  </si>
  <si>
    <t>B2.2 – Falta de instrumentos de coordinación</t>
  </si>
  <si>
    <t>B4.1 – Baja capacidad institucional</t>
  </si>
  <si>
    <t>Evidencia B1.1: recarga hídrica en “parques regionales municipales” y necesidad de reglamentos para ordenar uso/administración de tierras municipales (frontera administrativa vs función ecológica). Evidencia B2.2: consolidación de redes de comités comunitarios de agua + fortalecimiento de gobernanza de parques (mecanismos de coordinación). Evidencia B4.1: fortalecimiento de viveros municipales, guardarecursos y personal técnico/capacidades para gestión de áreas protegidas/recursos naturales.</t>
  </si>
  <si>
    <t>Agroforestería, riego eficiente, insumos sostenibles y gestión de residuos</t>
  </si>
  <si>
    <t>SAF con conservación de suelo; diplomado sobre uso seguro de agroquímicos (incl. jaulas de recolección de envases); conversión a riego por goteo; y campañas de sensibilización sobre manejo de residuos sólidos en municipios y comunidades vecinas.</t>
  </si>
  <si>
    <t>Productores/as y organizaciones productoras que implementan SAF y conservación de suelos; participantes del diplomado; productores/as que convierten sistemas de riego a goteo; comunidades alcanzadas por campaña de residuos.</t>
  </si>
  <si>
    <t>Municipalidades y servicios locales vinculados a residuos; actores de extensión/entes rectores involucrados en coordinación para riego y agroquímicos.</t>
  </si>
  <si>
    <t>ANC21 Accidentes industriales y fallos en infraestructura</t>
  </si>
  <si>
    <r>
      <rPr>
        <rFont val="Aptos Narrow"/>
        <color theme="1"/>
        <sz val="11.0"/>
      </rPr>
      <t xml:space="preserve">Contribuye a </t>
    </r>
    <r>
      <rPr>
        <rFont val="Aptos Narrow"/>
        <b/>
        <color theme="1"/>
        <sz val="11.0"/>
      </rPr>
      <t>seguridad sanitaria</t>
    </r>
    <r>
      <rPr>
        <rFont val="Aptos Narrow"/>
        <color theme="1"/>
        <sz val="11.0"/>
      </rPr>
      <t xml:space="preserve"> al reducir exposición a agroquímicos y mejorar manejo de residuos; fortalece </t>
    </r>
    <r>
      <rPr>
        <rFont val="Aptos Narrow"/>
        <b/>
        <color theme="1"/>
        <sz val="11.0"/>
      </rPr>
      <t>seguridad hídrica</t>
    </r>
    <r>
      <rPr>
        <rFont val="Aptos Narrow"/>
        <color theme="1"/>
        <sz val="11.0"/>
      </rPr>
      <t xml:space="preserve"> mediante riego eficiente y menor presión sobre disponibilidad; apoya </t>
    </r>
    <r>
      <rPr>
        <rFont val="Aptos Narrow"/>
        <b/>
        <color theme="1"/>
        <sz val="11.0"/>
      </rPr>
      <t>seguridad alimentaria y económica</t>
    </r>
    <r>
      <rPr>
        <rFont val="Aptos Narrow"/>
        <color theme="1"/>
        <sz val="11.0"/>
      </rPr>
      <t xml:space="preserve"> al sostener producción (SAF/hortalizas) con menor riesgo; refuerza </t>
    </r>
    <r>
      <rPr>
        <rFont val="Aptos Narrow"/>
        <b/>
        <color theme="1"/>
        <sz val="11.0"/>
      </rPr>
      <t>seguridad ambiental</t>
    </r>
    <r>
      <rPr>
        <rFont val="Aptos Narrow"/>
        <color theme="1"/>
        <sz val="11.0"/>
      </rPr>
      <t xml:space="preserve"> por conservación de suelos y reducción de contaminación; y aporta a </t>
    </r>
    <r>
      <rPr>
        <rFont val="Aptos Narrow"/>
        <b/>
        <color theme="1"/>
        <sz val="11.0"/>
      </rPr>
      <t>seguridad comunitaria y política</t>
    </r>
    <r>
      <rPr>
        <rFont val="Aptos Narrow"/>
        <color theme="1"/>
        <sz val="11.0"/>
      </rPr>
      <t xml:space="preserve"> al articular coordinación municipal/comunitaria para prácticas y gestión pública local.</t>
    </r>
  </si>
  <si>
    <t>T1=1: transición hacia prácticas más sostenibles (SAF/suelo/uso seguro) sin evidencia de sustitución completa del modelo; T2=1: vincula productores/as–municipalidades–extensión para residuos/riego/agroquímicos sin mecanismo multinivel formal descrito; T3=1: incorpora mejoras prácticas (goteo; jaulas de envases; diplomado) más que mecanismo novedoso institucional; T4=1: instala capacidades (diplomado) y prácticas, pero sin O&amp;M/financiamiento/reglas de continuidad explícitas; T5=1: múltiples componentes (suelo–agua–salud–residuos) sin explicitar lógica sistémica de paisaje; T6=0: no se describen nuevos mandatos/reglas vinculantes o redistribución de autoridad.</t>
  </si>
  <si>
    <t>B2.1 – Silos sectoriales</t>
  </si>
  <si>
    <t>B4.2 – Riesgos y financiamiento</t>
  </si>
  <si>
    <t>Evidencia B2.1: integra agricultura (SAF/suelo), agua (goteo), salud/ambiente (agroquímicos) y residuos municipales, típicamente fragmentados por sectores. Evidencia B2.2: requiere coordinación entre municipalidades/servicios de residuos + actores de extensión/entes rectores + productores/as para prácticas y gestión local. Evidencia B4.2: conversión a riego por goteo y medidas de manejo/seguridad implican costos y acceso a recursos/financiamiento para adopción y sostenimiento.</t>
  </si>
  <si>
    <t>Sierra de las Minas–cuenca Polochic/Izabal</t>
  </si>
  <si>
    <t>Fundación Defensores de la naturaleza (FDN)</t>
  </si>
  <si>
    <t>Sistemas agroforestales y restauración del paisaje</t>
  </si>
  <si>
    <t>Implementación de sistemas agroforestales diversificados y enriquecimiento de SAF existentes en 46 ha con especies nativas y productivas, basados en planes familiares de finca, producción en vivero y manejo integral del fuego, para restaurar áreas degradadas, mejorar servicios ecosistémicos y fortalecer medios de vida resilientes.</t>
  </si>
  <si>
    <t>Familias productoras con SAF existentes que participan en planes de finca, vivero, enriquecimiento de SAF y manejo integral del fuego en el paisaje.</t>
  </si>
  <si>
    <t>Comunidades que dependen de servicios ecosistémicos (suelo, bosque, agua) e instancias locales vinculadas a gestión ambiental y reducción de riesgo.</t>
  </si>
  <si>
    <t>AC09 Deslizamientos/derrumbes asociados a lluvia extrema</t>
  </si>
  <si>
    <t>Recupera cobertura y funcionalidad ecosistémica (bosque/suelo) y reduce degradación e incendios; mejora resiliencia productiva de familias agroforestales y aporta a servicios hídricos del paisaje, promoviendo la gestión colectiva y sostenible del territorio.</t>
  </si>
  <si>
    <t>T1=1: diversificación/enriquecimiento de SAF + restauración + manejo integral del fuego reorientan manejo productivo-ecosistémico; T2=1: planes de finca + acciones de paisaje (vivero/manejo del fuego) requieren articulación familiar–comunitaria–actores de gestión; T3=1: planes de finca y vivero como mecanismos habilitantes para restauración/producción; T4=1: vivero + planes de finca + manejo del fuego instalan condiciones para continuidad más allá de acciones puntuales; T5=1: intervención en 46 ha con paquete integrado (SAF + vivero + fuego) con lógica de paisaje; T6=0: no se explicitan cambios estructurales en reglas/mandatos (más énfasis en implementación y capacidades).</t>
  </si>
  <si>
    <t>B4.1: el proyecto enfatiza instalación de capacidades (planes de finca, vivero, manejo del fuego) como condición para poder implementar/monitorear en el territorio; B1.3: se trabaja en pilotos/áreas específicas (46 ha) y el reto típico es escalar reglas/prácticas exitosas a nivel de sistema; B4.2: vivero, enriquecimiento y manejo del fuego requieren recursos sostenidos (insumos, operación, brigadas/prevención) y suelen enfrentar barreras de financiamiento/gestión del riesgo.</t>
  </si>
  <si>
    <t>Jardines florales multipropósito y medios de vida favorables a polinizadores</t>
  </si>
  <si>
    <t>Diseño e implementación de jardines florales multipropósito con especies melíferas nativas en hogares, parcelas y apiarios, vinculados al fortalecimiento de sistemas apícolas, para mejorar conectividad ecológica, apoyar producción de miel y diversificar ingresos, con participación activa de mujeres y juventudes.</t>
  </si>
  <si>
    <t>Familias (con participación de mujeres y juventudes) que implementan jardines florales y fortalecen manejo apícola/producción de miel.</t>
  </si>
  <si>
    <t>Comunidades cercanas que se benefician de mayor polinización y conectividad; sistemas productivos próximos y actores de apoyo/comercialización local.</t>
  </si>
  <si>
    <t>Fortalece conectividad ecológica y servicios de polinización (ambiental) y diversifica ingresos vía apicultura (económica), promoviendo organización/participación local (comunitaria) con enfoque de inclusión (mujeres y juventudes).</t>
  </si>
  <si>
    <t>T1=1: introduce/fortalece medios de vida basados en polinizadores (apicultura) y restauración funcional a microescala (jardines melíferos); T2=0: se describe principalmente a escala hogar/parcela/apiario sin mecanismos multinivel explícitos; T3=1: jardines multipropósito con especies melíferas nativas como innovación contextual para conectividad + apicultura; T4=1: apicultura/jardines pueden sostenerse si se consolidan capacidades y manejo, pero no se describen instrumentos O&amp;M/financiamiento de largo plazo; T5=0: alcance focalizado (10 familias) sin pretensión sistémica explícita; T6=0: no se describen cambios en reglas/mandatos/arreglos de gobernanza.</t>
  </si>
  <si>
    <t>B4.4: la viabilidad de apicultura/venta de miel y su continuidad dependen de condiciones de mercado/ingresos para sostener el manejo; B1.3: al ser intervención demostrativa de baja cobertura, el reto es escalar adopción y arreglos de soporte a más hogares/parcelas; B4.1: requiere capacidades técnicas (manejo apícola, establecimiento/manejo de jardines, sanidad) y acompañamiento para consolidarse.</t>
  </si>
  <si>
    <t>Lago Izabal</t>
  </si>
  <si>
    <t>Áreas comunitarias de recuperación pesquera</t>
  </si>
  <si>
    <t>Diseño participativo, delimitación e implementación de un área piloto comunitaria de recuperación pesquera en el lago Izabal, con formación, monitoreo y alianzas institucionales, para reducir sobrepesca y artes destructivas, conservar especies clave y mejorar sostenibilidad pesquera.</t>
  </si>
  <si>
    <t>Pescadoras/es artesanales vinculadas/os a acuerdos comunitarios para recuperación pesquera.</t>
  </si>
  <si>
    <t>comunidades,Pataxte y Chapin Abajo</t>
  </si>
  <si>
    <t>Comunidades que dependen de la pesca para alimentación e ingresos; actores de cadena de valor local e instituciones aliadas para monitoreo y control.</t>
  </si>
  <si>
    <t>ANC18 Pesca con chinchorros y redes de arrastre</t>
  </si>
  <si>
    <t>Recupera el ecosistema acuático y el recurso pesquero (ambiental/hídrica), sostiene alimentación e ingresos (alimentaria/económica), reduce riesgos sanitarios asociados a deterioro de calidad de agua y contaminación (sanitaria) y fortalece reglas, monitoreo y articulación institucional para control y cumplimiento (política/comunitaria).</t>
  </si>
  <si>
    <t>T1=2: cambio explícito de rumbo hacia recuperación pesquera mediante delimitación e implementación de un área comunitaria (de extracción abierta a manejo/recuperación); T2=2: diseño participativo + alianzas institucionales para monitoreo/control implican articulación comunitaria–institucional; T3=1: incorpora monitoreo y formación como mecanismos habilitantes; T4=2: acuerdo comunitario + delimitación del área + esquema de monitoreo/alianzas crean bases de continuidad (más allá de acciones puntuales); T5=1: piloto con lógica de sistema para el lago (recurso común) pero aún como “área piloto”; T6=2: acuerdos comunitarios y reglas de uso/control reestructuran reglas-en-uso del recurso pesquero.</t>
  </si>
  <si>
    <t>B2.2: el área de recuperación requiere instrumentos y coordinación efectiva entre comunidad e instituciones para control, cumplimiento y gestión del recurso; B4.5: el componente de monitoreo y seguimiento es clave para ajustar reglas/decisiones según resultados (feedback adaptativo), evidenciando la brecha cuando no está institucionalizado; B4.1: formación, monitoreo y control suponen capacidades técnicas y organizativas que suelen ser limitadas y deben fortalecerse para sostener el manejo comunitario.</t>
  </si>
  <si>
    <t>San Ildefonso–Santa Isabel/Cortés</t>
  </si>
  <si>
    <t>FENAPROCACAHO</t>
  </si>
  <si>
    <t>Sistemas agroforestales regenerativos para cacao y cardamomo</t>
  </si>
  <si>
    <t>Implementación de prácticas de agricultura regenerativa en sistemas agroforestales de cacao y cardamomo (ajuste de densidad, BPA, fertilización orgánica producida en ECAs) y entrega de kits de herramientas e insumos para fortalecer medios de vida sostenibles y resilientes al clima.</t>
  </si>
  <si>
    <t>Productoras capacitadas e implementando prácticas sostenibles y regenerativas en cacao/cardamomo; 40 kits entregados para facilitar la aplicación práctica.</t>
  </si>
  <si>
    <t>Organizaciones y actores de apoyo local (p. ej., CCO, UMA, FUNDER, CODELES, consejos consultivos) y actores de cadena/comercialización (p. ej., Exportadora El Merendón).</t>
  </si>
  <si>
    <t>Contribuye a reducir degradación de suelos y presión sobre el sistema agroforestal (ambiental) y fortalece medios de vida mediante mejora de productividad/resiliencia y reducción de costos/insumos (económica).</t>
  </si>
  <si>
    <t>T1=1: transición incipiente hacia manejo regenerativo (BPA, densidad, orgánicos en ECAs) en SAF; T2=0: no se describen mecanismos multinivel (más allá de actores de apoyo mencionados); T3=1: producción de fertilización orgánica en ECAs + kits como innovación habilitante para adopción; T4=1: capacidades (ECAs) apoyan continuidad, pero no hay O&amp;M/financiamiento/reglas explícitas; T5=0: enfoque principalmente a escala de parcelas/40 productoras sin lógica sistémica explícita; T6=0: no se observan cambios estructurales en reglas/mandatos de gobernanza.</t>
  </si>
  <si>
    <t>B4.4: la estabilidad del medio de vida depende de mercados/cadena (cacao/cardamomo; exportación) y de capturar valor por prácticas sostenibles; B4.1: se enfatiza capacitación/ECAs como respuesta a brechas de capacidad para implementar/regenerar; B1.3: el reto típico es escalar prácticas regenerativas desde grupos capacitados a adopción amplia y a reglas/incentivos a nivel de sistema.</t>
  </si>
  <si>
    <t>Restauración de microcuencas y gobernanza comunitaria del agua</t>
  </si>
  <si>
    <t>Restauración de áreas degradadas en microcuencas prioritarias (reforestación con nativas, conservación de suelo, viveros comunitarios), con monitoreo participativo de agua (cantidad y calidad) y fortalecimiento de juntas administradoras de agua (JAAP) y liderazgos locales.</t>
  </si>
  <si>
    <t>Usuarias de agua y estructuras comunitarias vinculadas al servicio: Santa Isabel (149), Cuyamel (2010), Tegucigalpita (800), El Triunfo (100); JAA/JAAP y actores comunitarios participantes.</t>
  </si>
  <si>
    <t>Municipalidades e instituciones ambientales/gestión de riesgo (p. ej., ICF, SERNA, COPECO, CIAT) y organizaciones locales vinculadas a la gestión de microcuencas.</t>
  </si>
  <si>
    <t>Contribuye a seguridad hídrica y sanitaria (cantidad y calidad de agua + monitoreo), fortalece gobernanza y organización comunitaria del servicio (comunitaria y política), reduce degradación en microcuencas (ambiental) y sostiene medios de vida dependientes del agua (económica).</t>
  </si>
  <si>
    <t>T1=2: cambio explícito hacia gestión integrada de microcuencas (restauración + viveros + monitoreo + JAAP) para asegurar el servicio; T2=2: articulación comunidad–JAAP–municipalidades–entes rectores para gestión del agua y microcuenca; T3=1: monitoreo participativo de cantidad/calidad como innovación práctica habilitante; T4=2: viveros comunitarios + fortalecimiento de JAAP + monitoreo crean condiciones de continuidad del servicio; T5=1: lógica de microcuenca con múltiples comunidades, aunque el alcance sistémico completo no se describe; T6=2: fortalecimiento/rol de JAAP y arreglos de gobernanza del agua implica reglas y responsabilidades para acceso/gestión.</t>
  </si>
  <si>
    <t>B2.2: la intervención depende de coordinación efectiva entre JAAP, comunidad, municipalidad e instituciones para decisiones y co-financiamiento/implementación; B4.5: el monitoreo participativo habilita manejo adaptativo, reflejando la necesidad de institucionalizar feedback para ajustes; B1.4: la restauración en microcuencas y protección de recarga suelen enfrentar múltiples dueños/usuarios y derechos/uso superpuestos, requiriendo acuerdos operativos para sostener acciones.</t>
  </si>
  <si>
    <t>Estabilización de riberas y restauración ecológica con bioingeniería</t>
  </si>
  <si>
    <t>Estabilización de tramos críticos de riberas y taludes del río San Ildefonso mediante gaviones (control parcial de erosión), integrados en un plan más amplio de restauración vegetal con nativas y reducción de riesgos en microcuencas prioritarias.</t>
  </si>
  <si>
    <t>otro</t>
  </si>
  <si>
    <t>Comunidades en la ribera del río San Ildefonso y entidades responsables/participantes (COPECO, Municipalidad de Omoa, CIAT).</t>
  </si>
  <si>
    <t>Población usuaria de servicios ecosistémicos asociados a la ribera y microcuencas; estructuras comunitarias y municipalidad.</t>
  </si>
  <si>
    <t>Reduce riesgos por erosión/derrumbes e impactos hidrológicos en riberas (ambiental e hídrica) y protege infraestructura/activos locales vinculados al río y al territorio (económica).</t>
  </si>
  <si>
    <t>T1=0: es una medida de reducción de riesgo/ingeniería puntual (gaviones) sin evidencia de cambio de trayectoria; T2=1: involucra actores de gestión de riesgo y municipalidad, pero sin mecanismos claros descritos; T3=0: no se identifica innovación (solución estándar); T4=1: se vincula a un plan más amplio, pero no se describen arreglos de O&amp;M/financiamiento; T5=0: intervención focalizada en tramos críticos; T6=0: no se describen cambios en reglas/mandatos.</t>
  </si>
  <si>
    <t>B1.1: gestión de riberas/microcuencas suele chocar con fronteras administrativas y mandatos sectoriales (riesgo, ambiente, municipal); B2.2: requiere coordinación interinstitucional (COPECO–municipio–CIAT–comunidad) para implementar y sostener medidas; B4.2: obras y mantenimiento (gaviones/restauración vegetal) requieren financiamiento sostenido y gestión del riesgo para evitar fallas/reversión.</t>
  </si>
  <si>
    <t>Fortalecimiento de capacidades y gobernanza ambiental</t>
  </si>
  <si>
    <t>Escuelas de campo y viveros comunitarios, educación/sensibilización sobre uso adecuado de agroquímicos, y apoyo a la red de restauración del paisaje San Ildefonso para fortalecer gobernanza inclusiva y articulación institucional en manejo de microcuencas y del paisaje.</t>
  </si>
  <si>
    <t>Productores(as) involucrados en procesos de monitoreo/gestión del recurso hídrico y prácticas vinculadas a restauración/manejo del paisaje.</t>
  </si>
  <si>
    <t>Instituciones y estructuras locales del paisaje que se benefician de mayor coordinación, vigilancia comunitaria y prevención de conflictos sociales.</t>
  </si>
  <si>
    <t>ANC10 Falta de políticas de adaptación o políticas que llevan a maladaptación</t>
  </si>
  <si>
    <t>Fortalece capacidades, coordinación y gobernanza inclusiva para gestionar microcuencas (comunitaria y política), reduce riesgos ambientales vinculados a prácticas (ambiental) y mejora gestión del agua (hídrica); el componente de agroquímicos se asocia a reducción de riesgos para salud/contaminación (sanitaria) y sostiene medios de vida productivos (económica).</t>
  </si>
  <si>
    <t>T1=1: refuerza transición hacia manejo más sostenible/inclusivo mediante red de restauración + ECAs/viveros + prácticas más seguras; T2=2: red de restauración y articulación institucional implican coordinación multinivel (comunidad–instituciones–municipal); T3=1: escuelas de campo/viveros y vigilancia comunitaria como innovación social/organizativa; T4=1: capacidades instaladas, pero sin instrumentos/financiamiento de largo plazo explicitados; T5=1: orientado a paisaje/microcuencas (red), aunque sin detallar alcance sistémico; T6=2: “gobernanza inclusiva” + red/plataformas sugiere reconfiguración de roles/espacios de decisión.</t>
  </si>
  <si>
    <t>B2.1 Silos sectoriales</t>
  </si>
  <si>
    <t>B3.2: el énfasis en gobernanza inclusiva y prevención de conflictos apunta a superar participación consultiva y consolidar co-creación; B3.1: se menciona desigualdad/pobreza y gobernanza excluyente como barreras que requieren corregir distribución/voz en decisiones; B2.1: la necesidad de articular manejo de microcuencas, agroquímicos, restauración y gestión del riesgo evidencia fragmentación sectorial que la red busca romper.</t>
  </si>
  <si>
    <t>México (Chiapas)</t>
  </si>
  <si>
    <t>microcuencas Lagartero y Las Arenas (Arriaga)</t>
  </si>
  <si>
    <t>FONCET</t>
  </si>
  <si>
    <t>Restauración de microcuencas con viveros comunitarios de nativas</t>
  </si>
  <si>
    <t>Restauración mediante viveros comunitarios con germoplasma local, regeneración natural asistida (RNA/ANR) en áreas degradadas, enriquecimiento en parcelas productivas y de subsistencia, y construcción de presas filtrantes para reducir sedimentos y mejorar servicios ecosistémicos.</t>
  </si>
  <si>
    <t>Población rural con arraigo cultural, vinculada a prácticas agropecuarias, conocimiento ecológico local, organización comunitaria e identidad ligada al paisaje.</t>
  </si>
  <si>
    <t>Gobierno municipal (Arriaga), AGL Arriaga, CONANP-REBISE, escuelas agropecuarias, INIFAP, SAGyP, SEMAHN (Dirección de Microcuencas), entre otros.</t>
  </si>
  <si>
    <t>Contribuye a recuperar cobertura y funciones ecosistémicas, reducir sedimentos/azolvamiento y mejorar servicios hídricos; fortalece capacidades comunitarias (viveros/participación) y sostiene medios de vida locales al reducir degradación del paisaje.</t>
  </si>
  <si>
    <t>T1=1: orienta la acción hacia recuperación funcional de microcuenca (restauración + reducción de sedimentos) y no solo a reforestación puntual; T2=1: participan municipio, CONANP-REBISE, INIFAP y otros, pero no se explicita un instrumento formal de coordinación/decisión conjunta; T3=1: germoplasma local + RNA/ANR + presas filtrantes como paquete técnico-práctico adaptado; T4=1: viveros comunitarios sugieren continuidad, sin detallar financiamiento/operación y mantenimiento; T5=1: enfoque a escala de microcuencas con múltiples prácticas complementarias; T6=0: no se describen cambios explícitos en reglas/mandatos o arreglos de gobernanza.</t>
  </si>
  <si>
    <t>B1.3 Fallos en el escalamiento: el paquete busca pasar de acciones piloto a restauración sostenida a escala de microcuencas (replicabilidad/traslado a nivel territorial); B2.2 Falta de instrumentos de coordinación: la implementación depende de alinear actores (municipio–CONANP–academia–direcciones estatales) y sumar esfuerzos; B4.1 Baja capacidad institucional: el énfasis en viveros comunitarios y acompañamiento técnico sugiere brechas de capacidad local/institucional para planificar, implementar y monitorear restauración.</t>
  </si>
  <si>
    <t>Manejo integrado del fuego y protección civil comunitaria</t>
  </si>
  <si>
    <t>Plataforma participativa de manejo integrado del fuego, creación y capacitación de comités comunitarios de protección civil, equipamiento de brigada comunitaria y habilitación de brechas cortafuego para prevenir/controlar incendios y reducir riesgos climáticos y ambientales.</t>
  </si>
  <si>
    <t>Personas de las comunidades del paisaje que se integran en comités/plataforma para manejo integrado del fuego y protección civil comunitaria.</t>
  </si>
  <si>
    <t>CONANP (Centro Comunitario para el Manejo del Fuego), gobierno estatal/municipal, academia (p. ej., INIFAP) y actores sectoriales vinculados al plan estatal.</t>
  </si>
  <si>
    <t>Reduce riesgos ambientales y pérdidas asociadas a incendios; organiza capacidades comunitarias (comités/brigada) y articula coordinación multiactor para prevención y respuesta (gobernanza y toma de decisión territorial).</t>
  </si>
  <si>
    <t>T1=1: desplaza de respuesta reactiva a prevención/gestión del riesgo (plataforma + comités + brechas + brigada); T2=2: coordinación explícita comunidad–CONANP–gobierno–academia y vínculo con plan estatal; T3=1: plataforma participativa + brigada/equipamiento como innovación organizativa para manejo del fuego; T4=2: comités/brigada institucionalizan capacidad recurrente de prevención y respuesta; T5=1: aborda el riesgo a escala de paisaje/microcuencas (no solo un sitio); T6=2: crea/fortalece arreglos (comités y plataforma) que cambian roles y reglas-en-uso para prevención/control.</t>
  </si>
  <si>
    <t>B2.1 Silos sectoriales: el manejo del fuego requiere integrar ambiente–protección civil–productivo, típicamente fragmentados; B2.2 Falta de instrumentos de coordinación: la “plataforma participativa” y comités operan como mecanismo para coordinar actores y decisiones; B4.6 Falta de liderazgo estratégico y capacidad de innovación: sostener brigadas, protocolos y prevención demanda liderazgo y capacidad de innovación institucional/comunitaria para romper inercias y mantener operación.</t>
  </si>
  <si>
    <t>Fortalecimiento de capacidades y movilización de recursos para gobernanza resiliente</t>
  </si>
  <si>
    <t>Fortalecimiento de capacidades locales para restauración y manejo integrado del fuego (evaluaciones de aprendizaje pre/post), y movilización de recursos públicos y privados (incluida alineación con el Plan Estatal de Restauración y Saneamiento de Microcuencas) para sostener la gobernanza del paisaje a largo plazo.</t>
  </si>
  <si>
    <t>Personas participantes (comunidades y actores clave) que fortalecen capacidades para restauración y manejo integrado del fuego (incluye procesos de evaluación pre/post).</t>
  </si>
  <si>
    <t>Gobierno estatal/municipal, academia y actores del Plan Estatal de Restauración y Saneamiento de Microcuencas (para sumar esfuerzos y asegurar permanencia).</t>
  </si>
  <si>
    <t>Fortalece condiciones habilitantes (capacidades + financiamiento + alineación con instrumentos públicos) para sostener restauración/manejo del fuego y la gobernanza del paisaje, con efectos ambientales y de agua, cohesión/organización y mejora de la capacidad institucional para decidir y gestionar.</t>
  </si>
  <si>
    <t>T1=2: reorienta la trayectoria hacia sostenibilidad de largo plazo (capacidad + recursos + alineación con plan estatal) y no solo ejecución de actividades; T2=2: articulación multi-nivel (comunidades–municipio–estado–academia) y alineación con instrumento público; T3=1: evaluaciones pre/post como innovación para gestión basada en aprendizaje; T4=2: movilización de recursos + alineación con plan estatal apuntan a continuidad; T5=2: explícito “sostener la gobernanza del paisaje” (microcuencas) como sistema; T6=2: alineación con plan estatal y movilización de recursos sugieren ajustes en arreglos e instrumentos de decisión/financiamiento.</t>
  </si>
  <si>
    <t>B4.2 Riesgos y financiamiento: foco explícito en movilización de recursos públicos/privados para sostener acciones; B4.5 Aprendizaje y adaptación sistémica: evaluaciones de aprendizaje pre/post orientan seguimiento y ajuste; B2.2 Falta de instrumentos de coordinación: la alineación con el Plan Estatal opera como instrumento para coordinar actores, sumar esfuerzos y sostener gobernanza a escala de microcuencas/paisaje.</t>
  </si>
  <si>
    <t>RVS Puca (Lempira)</t>
  </si>
  <si>
    <t>Fundación Comunitaria Puca (FC Puca)</t>
  </si>
  <si>
    <t>Infraestructura hídrica y protección de microcuencas para acceso resiliente</t>
  </si>
  <si>
    <t>Muros de contención en recarga, tanques comunitarios, mejora de conducción/distribución, monitoreo de caudales y análisis de calidad de agua.</t>
  </si>
  <si>
    <t>Familias</t>
  </si>
  <si>
    <t>Personas abonadas al sistema comunitario de agua, quienes reciben de manera directa el servicio mejorado y participan en su uso, mantenimiento y gestión, contribuyendo a la sostenibilidad del sistema.</t>
  </si>
  <si>
    <t>Integrantes de los hogares de las personas abonadas, quienes se benefician del acceso a agua segura y continua, JAA y municipalidades (consumo y agricultura).</t>
  </si>
  <si>
    <t>Reduce riesgos por disminución de caudales y eventos extremos, mejora acceso y calidad de agua (consumo/agricultura), y fortalece acuerdos comunitarios y gestión equitativa del recurso, disminuyendo tensiones por distribución.</t>
  </si>
  <si>
    <t>T1=1: desplaza de respuesta ad hoc a gestión hídrica basada en evidencia (monitoreo de caudales + análisis de calidad) y mejora del sistema de abastecimiento; T2=2: involucra JAA–municipalidades–comunidades cuenca abajo, con decisiones que cruzan microcuencas y usuarios; T3=1: combinación de infraestructura + monitoreo como innovación práctica para gestión del servicio; T4=2: O&amp;M y seguimiento quedan institucionalizados en el servicio (tanques, conducción y monitoreo recurrente); T5=2: interviene el sistema hídrico (recarga–captación–distribución–calidad) con efectos a escala de paisaje/localidades; T6=2: fortalece arreglos de gestión del agua (rol de JAA y mecanismos de gestión equitativa) que reconfiguran reglas-en-uso para distribución.</t>
  </si>
  <si>
    <t>B2.2: la operación del sistema y distribución equitativa requieren coordinación formal entre JAA, municipalidades y comunidades cuenca abajo; B4.1: el énfasis en monitoreo, fontanería/gestión del servicio e infraestructura evidencia necesidad de capacidades técnicas/administrativas para planificar, operar y mantener; B4.5: monitoreo de caudales y calidad habilita feedback para ajustar decisiones de distribución, mantenimiento y protección de microcuencas.</t>
  </si>
  <si>
    <t>Agroforestería y sistemas silvopastoriles con vivero comunitario</t>
  </si>
  <si>
    <t>Implementación/rehabilitación de SAF, silvopastoriles y reforestaciones con vivero comunitario permanente (meta ≥20,000 árboles nativos) para restaurar áreas degradadas y reducir erosión.</t>
  </si>
  <si>
    <r>
      <rPr>
        <rFont val="Arial"/>
        <color theme="1"/>
        <sz val="11.0"/>
      </rPr>
      <t>50 propietarias/os (</t>
    </r>
    <r>
      <rPr>
        <rFont val="Arial"/>
        <color rgb="FFFF0000"/>
        <sz val="11.0"/>
      </rPr>
      <t>privados, centros educativos, juntas de agua</t>
    </r>
    <r>
      <rPr>
        <rFont val="Arial"/>
        <color theme="1"/>
        <sz val="11.0"/>
      </rPr>
      <t>) que diversifican parcelas y aplican SAF/silvopastoreo.</t>
    </r>
  </si>
  <si>
    <t>Productoras/es del paisaje, municipalidades, instituciones y ONGs vinculadas al acompañamiento y escalamiento.</t>
  </si>
  <si>
    <t>Restaura cobertura y reduce erosión, mejorando regulación hídrica y resiliencia productiva; aporta a seguridad alimentaria/económica vía diversificación, con beneficios comunitarios por la función demostrativa del vivero y las parcelas.</t>
  </si>
  <si>
    <t>T1=1: reorienta prácticas productivas hacia restauración y manejo regenerativo (SAF/silvopastoreo) en lugar de expansión degradante; T2=1: hay vínculo con municipalidades/instituciones/ONGs, pero no se explicita un mecanismo formal de gobernanza multi-nivel; T3=1: vivero comunitario permanente con meta de nativas como innovación habilitante; T4=2: el vivero permanente aumenta continuidad (producción sostenida de material vegetal); T5=1: incide en parcelas y áreas degradadas del paisaje, con efectos sobre erosión/agua; T6=0: no se describen cambios explícitos en reglas/arreglos para inclusión o toma de decisión (aunque se menciona ANC14 como contexto).</t>
  </si>
  <si>
    <t>B3.2 Falta de participación genuina (consultivo vs co-creación)</t>
  </si>
  <si>
    <t>B3.2: al incluir “estructuras de gobernanza excluyentes” como amenaza, se infiere riesgo de que decisiones/beneficios no integren a actores marginados en el diseño/implementación; B1.4: intervención en múltiples predios (privados y centros educativos) requiere coordinar derechos/decisiones para restauración y mantenimiento; B4.1: la implementación de SAF/silvopastoreo y operación del vivero requieren capacidades técnicas y organizativas sostenidas.</t>
  </si>
  <si>
    <t>Apicultura sostenible y medios de vida alternativos resilientes</t>
  </si>
  <si>
    <t>Formación y fortalecimiento de grupos apícolas con entrega de colmenas, insumos y equipo de protección para diversificar ingresos y promover polinización.</t>
  </si>
  <si>
    <t>5 grupos fortalecidos en apicultura sostenible, procesos formativos y dotacion de materiles y equipo</t>
  </si>
  <si>
    <t>Liderazgos comunitarios, grupos organizados y facilitación comunitaria que sostienen procesos formativos.</t>
  </si>
  <si>
    <t>Fortalece un medio de vida alternativo menos sensible a pérdidas agrícolas directas, diversifica ingresos y sostiene servicios ecosistémicos (polinización), con organización comunitaria alrededor de los grupos apícolas.</t>
  </si>
  <si>
    <t>T1=1: cambia trayectoria de dependencia exclusiva de agricultura vulnerable hacia diversificación de medios de vida (apicultura); T2=1: se organiza a nivel comunitario (5 grupos), sin evidencia explícita de articulación multi-nivel; T3=1: paquetes de colmenas/insumos + formación como innovación práctica para transición de medios de vida; T4=1: la permanencia dependerá de mercados/soporte técnico (ANC07/ANC12), sin mecanismo descrito de sostenibilidad; T5=1: beneficios sistémicos por polinización y organización de grupos, pero intervención focal a nivel de hogares/grupos; T6=0: no se plantean cambios explícitos en reglas/estructuras (aunque hay riesgo por exclusión).</t>
  </si>
  <si>
    <t>B4.4: la amenaza de mercados inestables sugiere que la viabilidad depende de acceso a mercado/valor agregado/finanzas; B3.2: presencia de “gobernanza excluyente” como amenaza indica riesgo de barreras de inclusión en beneficios y toma de decisión de los grupos; B4.1: el énfasis en formación, equipo y facilitación revela brechas de capacidades técnicas/organizativas para sostener apicultura y gestión colectiva.</t>
  </si>
  <si>
    <t>Gobernanza hídrica y mecanismos de transparencia</t>
  </si>
  <si>
    <t>Fortalecimiento de JAA en rendición de cuentas, gestión administrativa/financiera y fontanería, con reportes periódicos y mejora de la gobernanza del agua.</t>
  </si>
  <si>
    <t>Juntas Administradoras de Agua</t>
  </si>
  <si>
    <t>21 JAA fortalecidas en transparencia y capacidades de gestión del servicio.</t>
  </si>
  <si>
    <t>Juntas de agua, asociaciones de JAA, municipalidades y actores locales para distribución equitativa del recurso.</t>
  </si>
  <si>
    <t>La gobernanza y transparencia del agua reduce conflictividad por distribución, mejora capacidades para operación/mantenimiento y decisiones informadas (incl. calidad), reforzando acceso equitativo y legitimidad institucional comunitaria.</t>
  </si>
  <si>
    <t>T1=2: reorienta la gestión del agua hacia reglas claras, transparencia y rendición de cuentas (cambio de prácticas de gobernanza, no solo infraestructura); T2=2: involucra 21 JAA, asociaciones y municipalidades con efectos a escala intercomunitaria/microcuencas; T3=1: reportes periódicos y fortalecimiento administrativo/financiero como innovación organizativa; T4=2: institucionaliza prácticas recurrentes (reportes, O&amp;M, fontanería) para continuidad del servicio; T5=2: mejora de gobernanza del agua impacta el sistema de provisión y distribución a escala del paisaje; T6=2: fortalece y reconfigura arreglos de decisión y control (accountability) para distribución equitativa.</t>
  </si>
  <si>
    <t>B3.1: el foco en “distribución equitativa” y reducción de tensiones por desigualdad indica brecha distributiva en acceso/beneficios del agua; B3.2: “gobernanza excluyente” como amenaza sugiere necesidad de mecanismos que amplíen inclusión/voz en JAA y decisiones; B4.1: fortalecimiento en administración/finanzas y fontanería evidencia brechas de capacidades para operar y sostener el servicio con calidad y legitimidad.</t>
  </si>
  <si>
    <t>Ecuador</t>
  </si>
  <si>
    <t>Ambuquí Valle Chota–Mira/Ibarra (Imbabura)</t>
  </si>
  <si>
    <t>Fundación Tierra Viva</t>
  </si>
  <si>
    <t>Sistemas agroforestales y cosecha de agua lluvia</t>
  </si>
  <si>
    <t>Diseño e implementación de sistemas agroforestales en parcelas familiares, combinando especies nativas forestales y productivas con cosecha de agua lluvia y reservorio para aumentar humedad del suelo, diversificar producción resiliente y fortalecer seguridad alimentaria en Peñaherrera.</t>
  </si>
  <si>
    <t>Familias rurales pertenecientes a comunidades indígenas, con disponibilidad limitada de agua de riego para producción agrícola, lo que restringe la diversificación de cultivos.</t>
  </si>
  <si>
    <t>Actores/Instituciones</t>
  </si>
  <si>
    <t>Comité de agua local, liderazgos comunitarios, IEDECA, GPI, GAD Parroquial de Ambuquí (apoyo y articulación territorial).</t>
  </si>
  <si>
    <t>Fortalece la resiliencia del sistema productivo y los servicios ecosistémicos (suelo/vegetación), y reduce vulnerabilidad hídrica mediante cosecha de lluvia y almacenamiento. Mejora seguridad alimentaria y económica por diversificación productiva. Requiere y refuerza organización y acuerdos comunitarios para gestión y mantenimiento del sistema (comunitaria y política).</t>
  </si>
  <si>
    <t>T1=1: integra manejo productivo (SAF) + gestión hídrica (cosecha/almacenamiento) para cambiar la trayectoria frente a sequía/estrés hídrico; T2=1: articula familias–liderazgos/comité de agua–GAD parroquial y aliados (IEDECA/GPI) para implementación y soporte; T3=1: combinación SAF + cosecha de lluvia/reservorio como paquete innovador-adaptativo para humedad/producción; T4=1: SAF y reservorio requieren mantenimiento y reglas de uso, generando permanencia en el tiempo; T5=1: aborda simultáneamente suelo–agua–cobertura–producción (enfoque de sistema en la microcuenca/paisaje); T6=1: refuerza reglas y roles comunitarios (comité/acuerdos) para operar y sostener el sistema hídrico-productivo.</t>
  </si>
  <si>
    <t>B1.4: disponibilidad limitada de riego y necesidad de acuerdos para uso/gestión del agua reflejan tensiones por derechos de uso y acceso (distribución y control del recurso); B2.2: el funcionamiento del reservorio y la cosecha de lluvia requiere reglas explícitas de coordinación (comité de agua, acuerdos comunitarios, articulación con GAD y actores técnicos); B4.1: operación/mantenimiento del reservorio y prácticas SAF demandan capacidades técnicas y organizativas locales (gestión, mantenimiento, acompañamiento) para sostener resultados.</t>
  </si>
  <si>
    <t>Restauración de riberas degradadas y gestión eficiente del agua</t>
  </si>
  <si>
    <t>Restauración de riberas degradadas de la quebrada seca de Ambuquí con especies nativas, junto con gestión participativa de un reservorio comunal de riego, fortalecimiento de la Junta de Agua de Riego “La Yunguilla” y acuerdos comunitarios para reducir conflictos y mejorar uso equitativo y eficiente del agua.</t>
  </si>
  <si>
    <t>Pequeños productores agrícolas (frutales) organizados en asociaciones locales con participación activa de mujeres y jóvenes; también se reporta base de 115 usuarias/os del canal de agua.</t>
  </si>
  <si>
    <t>Junta de Agua de Riego “La Yunguilla”, asociaciones de productores, GPI, GAD Parroquial de Ambuquí; instituciones educativas y población vinculada a restauración.</t>
  </si>
  <si>
    <t>Reduce riesgos ambientales (erosión y pérdida de cobertura en riberas) y mejora la disponibilidad/uso del agua para riego mediante infraestructura y acuerdos. Aporta a seguridad alimentaria y económica al sostener producción agrícola. Refuerza cohesión social y gobernanza del agua (Junta + acuerdos + reducción de conflictos), aportando a seguridad comunitaria y política.</t>
  </si>
  <si>
    <t>T1=1: pasa de respuestas fragmentadas a gestión integrada ribera–reservorio–uso eficiente del riego para reducir vulnerabilidad climática; T2=1: coordina Junta de riego–asociaciones–GAD parroquial–aliados (GPI y otros) en decisiones e implementación; T3=1: integra restauración ribereña + gestión participativa de infraestructura de riego y acuerdos como innovación socio-ecológica; T4=1: la Junta fortalecida y los acuerdos sostienen continuidad operativa y mantenimiento del sistema; T5=1: interviene el sistema agua–suelo–cobertura–producción y reduce conflictividad por uso del recurso; T6=1: fortalece y ajusta reglas de distribución/uso (equidad/eficiencia) mediante Junta y acuerdos comunitarios.</t>
  </si>
  <si>
    <t>B2.2: gestión participativa del reservorio y fortalecimiento de la Junta evidencian necesidad de instrumentos/reglas para coordinar turnos, mantenimiento y decisiones (acuerdos para reducir conflictos); B3.1: el foco explícito en “uso equitativo” y reducción de conflictos indica brechas de distribución de beneficios/costos en el acceso al agua de riego; B4.1: se requiere fortalecer capacidades organizativas y técnicas de la Junta y asociaciones para operar, mantener y hacer cumplir acuerdos, además de sostener la restauración ribereña.</t>
  </si>
  <si>
    <t>ACUSMIT Intag Toisán/Imbabura</t>
  </si>
  <si>
    <t>Corporación Toisán</t>
  </si>
  <si>
    <t>Restauración de fertilidad de suelos y biofábricas comunitarias</t>
  </si>
  <si>
    <t>Restauración de microbiología y fertilidad de suelos con microorganismos de montaña y creación/fortalecimiento de biofábricas campesinas para producir bioinsumos, reducir agroquímicos y mejorar salud del suelo en cinco microcuencas.</t>
  </si>
  <si>
    <t>Instituciones/organizaciones</t>
  </si>
  <si>
    <t>Concejos de microcuenca, gobierno municipal de Cotacachi, juntas de agua.</t>
  </si>
  <si>
    <t>Reduce uso de agroquímicos y mejora salud del suelo (ambiental) con co-beneficios en calidad de agua (hídrica) y reducción de exposición a químicos (sanitaria). Fortalece producción y resiliencia de medios de vida (alimentaria y económica) mediante bioinsumos locales y aprendizaje colectivo (comunitaria).</t>
  </si>
  <si>
    <t>T1=1: transita de dependencia de agroquímicos a bioinsumos locales (biofábricas) para restaurar suelos; T2=1: opera en cinco microcuencas con concejos/juntas de agua y municipio; T3=1: uso de microorganismos de montaña + biofábricas como innovación apropiada; T4=1: fortalecimiento/creación de biofábricas instala capacidades permanentes; T5=1: incide en cadena de insumos y prácticas productivas a escala de paisaje; T6=1: la producción comunitaria de bioinsumos y acuerdos locales reconfiguran prácticas y arreglos para manejo de suelo/agua.</t>
  </si>
  <si>
    <t>B2.4 Conflicto y Fragmentación de Conocimiento</t>
  </si>
  <si>
    <t>B2.2: se requiere coordinación entre concejos de microcuenca, juntas de agua, municipio y familias para sostener biofábricas/uso de bioinsumos; B4.1: la instalación/operación de biofábricas demanda capacidades técnicas, organización y acompañamiento; B2.4: integrar conocimiento campesino (microorganismos de montaña) con prácticas técnicas y validación requiere mecanismos transdisciplinarios para adopción y legitimidad.</t>
  </si>
  <si>
    <t>Sistemas silvopastoriles y cercas eléctricas solares</t>
  </si>
  <si>
    <t>Implementación y fortalecimiento de sistemas silvopastoriles mediante siembra de árboles en pasturas, cercas eléctricas solares y mejora del pastoreo para reducir presión sobre bosques y fuentes de agua.</t>
  </si>
  <si>
    <t>Concejos de microcuenca / actores locales.</t>
  </si>
  <si>
    <t>ANC05 Sobrepastoreo / presión ganadera</t>
  </si>
  <si>
    <t>Reduce presión ganadera sobre bosques y fuentes de agua (ambiental e hídrica) y estabiliza productividad ganadera (alimentaria y económica) mediante manejo del pastoreo y árboles en pasturas.</t>
  </si>
  <si>
    <t>T1=1: cambia el manejo ganadero hacia pastoreo mejorado con árboles (silvopastoril) para reducir presión; T2=1: se implementa con actores locales/concejos de microcuenca; T3=1: cercas eléctricas solares habilitan rotación y control del pastoreo; T4=1: árboles + manejo de pasturas generan cambios de largo plazo en productividad/servicios; T5=1: reduce presión sobre bosques/fuentes de agua a escala de microcuenca; T6=0: no se explicita cambio de reglas/arquitectura institucional más allá de adopción predial.</t>
  </si>
  <si>
    <t>B4.2: cercas solares/establecimiento de árboles requieren inversión y acceso a financiamiento/insumos; B3.3: el cambio de prácticas ganaderas (rotación, árboles, carga) puede enfrentar resistencia cultural y de hábitos productivos; B4.1: se requieren capacidades técnicas para diseño, manejo de pastoreo y mantenimiento de infraestructura.</t>
  </si>
  <si>
    <t>Agroforestería y cosecha de agua lluvia a nivel familiar</t>
  </si>
  <si>
    <t>Fortalecimiento de agroforestería en parcelas familiares mediante diversificación, conservación de suelos (incl. keyline design) e instalación de sistemas de cosecha de agua lluvia para riego y uso doméstico.</t>
  </si>
  <si>
    <t>Juntas de agua y actores locales.</t>
  </si>
  <si>
    <t>Combina diversificación agroforestal y conservación de suelos (ambiental) con cosecha de lluvia para riego/uso doméstico (hídrica y sanitaria), mejorando producción y resiliencia de ingresos (alimentaria y económica).</t>
  </si>
  <si>
    <t>T1=1: desplaza prácticas hacia diversificación + conservación (keyline) + cosecha de lluvia; T2=1: interacción con juntas de agua/actores locales; T3=1: keyline design y sistemas de cosecha de lluvia como innovación aplicada; T4=1: infraestructura y prácticas de suelo establecen beneficios sostenidos; T5=1: integra suelo-agua-producción con efectos en microcuenca; T6=0: no se explicitan instrumentos/reglas nuevas, más allá de adopción y articulación local.</t>
  </si>
  <si>
    <t>B4.1: requiere capacidades para diseñar/operar cosecha de lluvia y manejo de suelos; B4.2: infraestructura y materiales implican barreras de inversión; B2.2: coordinación con juntas de agua/actores locales es necesaria para compatibilizar uso doméstico/riego y evitar conflictos por gestión del recurso.</t>
  </si>
  <si>
    <t>Agroforestería y energía renovable para bombeo de agua</t>
  </si>
  <si>
    <t>Instalación de sistemas de energía renovable a pequeña escala (p. ej., bombeo solar y otras soluciones de energía limpia) para apoyar producción agroforestal y reducir uso de combustibles fósiles.</t>
  </si>
  <si>
    <t>Concejos de microcuenca / gobierno local.</t>
  </si>
  <si>
    <t>Reduce dependencia de combustibles fósiles y sostiene producción agroforestal (ambiental), habilita acceso/uso de agua para producción vía bombeo (hídrica) y fortalece medios de vida (alimentaria y económica).</t>
  </si>
  <si>
    <t>T1=1: cambia provisión energética para bombeo hacia renovables (menor dependencia fósil); T2=1: requiere articulación con concejos/gobierno local; T3=1: bombeo solar/energía limpia como innovación tecnológica apropiada; T4=1: infraestructura puede sostener beneficios en el tiempo si se mantiene; T5=0: no se explicita intervención sistémica más allá del componente energético en unidades/usuarios; T6=0: no se explicitan cambios en reglas/roles institucionales.</t>
  </si>
  <si>
    <t>B4.2: inversión inicial y reposición de equipos son barreras típicas; B4.4: sostenibilidad depende de costos de operación/mantenimiento y esquemas de pago/mercado para sostener el sistema; B2.2: requiere acuerdos de coordinación con gobierno local/concejos para permisos, operación, distribución y mantenimiento del servicio de bombeo.</t>
  </si>
  <si>
    <t>Conservación de microcuencas y monitoreo ecosistémico</t>
  </si>
  <si>
    <t>Consolidación de un programa de monitoreo y vigilancia de ecosistemas y hábitats en cinco microcuencas, con equipamiento, geoportal y campañas de monitoreo comunitario para orientar conservación y manejo.</t>
  </si>
  <si>
    <t>Gobierno local, juntas de agua, redes locales para gestión/monitoreo.</t>
  </si>
  <si>
    <t>Fortalece decisiones de conservación y manejo con monitoreo comunitario (ambiental e hídrica) y mejora condiciones de gobernanza (política y comunitaria) al apoyar cumplimiento, vigilancia y participación informada.</t>
  </si>
  <si>
    <t>T1=1: reorienta la gestión hacia manejo adaptativo basado en evidencia (monitoreo/vigilancia); T2=1: opera en red (gobierno local–juntas de agua–redes) y en cinco microcuencas; T3=1: geoportal + equipamiento + campañas comunitarias como innovación habilitante; T4=1: programa continuo de monitoreo instala permanencia; T5=1: cubre ecosistemas/hábitats a escala de paisaje (microcuencas); T6=1: refuerza reglas y roles de vigilancia/cumplimiento y participación informada en decisiones.</t>
  </si>
  <si>
    <t>B4.5 Aprendizaje y adaptación sistémica (feedback adaptativo)</t>
  </si>
  <si>
    <t>B4.5: el programa de monitoreo y su uso para orientar manejo es evidencia directa de necesidad de feedback adaptativo; B2.2: coordinación entre gobierno local, juntas y redes es condición para operar y usar datos en decisión; B4.1: se requieren capacidades técnicas, equipos y organización para mantener monitoreo, análisis y respuesta.</t>
  </si>
  <si>
    <t>Restauración de cuerpos hídricos y saneamiento descentralizado</t>
  </si>
  <si>
    <t>Implementación de tratamiento descentralizado de aguas residuales (vermifiltros, biodigestores, círculos de plátano) para mejorar calidad del agua y restaurar el funcionamiento ecológico de quebradas y ríos.</t>
  </si>
  <si>
    <t>Concejos de microcuenca, actores locales clave.</t>
  </si>
  <si>
    <t>Reduce contaminación y mejora funcionamiento ecológico de ríos/quebradas (ambiental e hídrica), disminuye riesgos sanitarios asociados a aguas residuales (sanitaria) y requiere/fortalece acuerdos y gestión local para operar y sostener soluciones (comunitaria y política).</t>
  </si>
  <si>
    <t>T1=1: cambia de descarga/contaminación a tratamiento y restauración de cuerpos hídricos; T2=1: requiere coordinación local (concejos/actores) y gestión territorial; T3=1: soluciones descentralizadas (vermifiltros/biodigestores/círculos de plátano) como innovación apropiada; T4=1: si se operan/mantienen, sostienen mejoras continuas en calidad; T5=1: impacta el sistema hídrico (quebradas/ríos) y salud ambiental del paisaje; T6=1: exige acuerdos, roles y reglas de operación/mantenimiento y cumplimiento para sostener el saneamiento.</t>
  </si>
  <si>
    <t>B4.4: operación y mantenimiento de soluciones descentralizadas requiere esquemas sostenibles de recursos y gestión; B2.2: coordinación entre concejos y actores locales es necesaria para instalar, operar y asegurar cumplimiento; B4.1: se requieren capacidades técnicas y organizativas para manejo, mantenimiento y monitoreo de desempeño del tratamiento.</t>
  </si>
  <si>
    <t>Codebook – Guía de llenado y codificación de la matriz</t>
  </si>
  <si>
    <t>Reglas generales de llenado</t>
  </si>
  <si>
    <r>
      <rPr>
        <rFont val="Aptos Narrow"/>
        <b/>
        <color theme="1"/>
        <sz val="11.0"/>
      </rPr>
      <t>Multi-etiqueta:</t>
    </r>
    <r>
      <rPr>
        <rFont val="Aptos Narrow"/>
        <b val="0"/>
        <color theme="1"/>
        <sz val="11.0"/>
      </rPr>
      <t xml:space="preserve"> separar con </t>
    </r>
    <r>
      <rPr>
        <rFont val="Arial Unicode MS"/>
        <b val="0"/>
        <color theme="1"/>
        <sz val="10.0"/>
      </rPr>
      <t>;</t>
    </r>
    <r>
      <rPr>
        <rFont val="Aptos Narrow"/>
        <b val="0"/>
        <color theme="1"/>
        <sz val="11.0"/>
      </rPr>
      <t xml:space="preserve"> (p. ej., </t>
    </r>
    <r>
      <rPr>
        <rFont val="Arial Unicode MS"/>
        <b val="0"/>
        <color theme="1"/>
        <sz val="10.0"/>
      </rPr>
      <t>R1_sequia; R3_incendios</t>
    </r>
    <r>
      <rPr>
        <rFont val="Aptos Narrow"/>
        <b val="0"/>
        <color theme="1"/>
        <sz val="11.0"/>
      </rPr>
      <t>).</t>
    </r>
  </si>
  <si>
    <r>
      <rPr>
        <rFont val="Aptos Narrow"/>
        <b/>
        <color theme="1"/>
        <sz val="11.0"/>
      </rPr>
      <t>Texto breve:</t>
    </r>
    <r>
      <rPr>
        <rFont val="Aptos Narrow"/>
        <b val="0"/>
        <color theme="1"/>
        <sz val="11.0"/>
      </rPr>
      <t xml:space="preserve"> máximo </t>
    </r>
    <r>
      <rPr>
        <rFont val="Aptos Narrow"/>
        <b/>
        <color theme="1"/>
        <sz val="11.0"/>
      </rPr>
      <t>2–4 bullets</t>
    </r>
    <r>
      <rPr>
        <rFont val="Aptos Narrow"/>
        <b val="0"/>
        <color theme="1"/>
        <sz val="11.0"/>
      </rPr>
      <t xml:space="preserve"> por celda (salvo </t>
    </r>
    <r>
      <rPr>
        <rFont val="Arial Unicode MS"/>
        <b val="0"/>
        <color theme="1"/>
        <sz val="10.0"/>
      </rPr>
      <t>Descripcion_NbS</t>
    </r>
    <r>
      <rPr>
        <rFont val="Aptos Narrow"/>
        <b val="0"/>
        <color theme="1"/>
        <sz val="11.0"/>
      </rPr>
      <t xml:space="preserve">, que es </t>
    </r>
    <r>
      <rPr>
        <rFont val="Aptos Narrow"/>
        <b/>
        <color theme="1"/>
        <sz val="11.0"/>
      </rPr>
      <t>1–3 frases</t>
    </r>
    <r>
      <rPr>
        <rFont val="Aptos Narrow"/>
        <b val="0"/>
        <color theme="1"/>
        <sz val="11.0"/>
      </rPr>
      <t xml:space="preserve"> o </t>
    </r>
    <r>
      <rPr>
        <rFont val="Aptos Narrow"/>
        <b/>
        <color theme="1"/>
        <sz val="11.0"/>
      </rPr>
      <t>hasta 3 bullets</t>
    </r>
    <r>
      <rPr>
        <rFont val="Aptos Narrow"/>
        <b val="0"/>
        <color theme="1"/>
        <sz val="11.0"/>
      </rPr>
      <t>).</t>
    </r>
  </si>
  <si>
    <r>
      <rPr>
        <rFont val="Aptos Narrow"/>
        <b/>
        <color theme="1"/>
        <sz val="11.0"/>
      </rPr>
      <t>Números:</t>
    </r>
    <r>
      <rPr>
        <rFont val="Aptos Narrow"/>
        <b val="0"/>
        <color theme="1"/>
        <sz val="11.0"/>
      </rPr>
      <t xml:space="preserve"> solo dígitos (sin texto).</t>
    </r>
  </si>
  <si>
    <r>
      <rPr>
        <rFont val="Aptos Narrow"/>
        <b/>
        <color theme="1"/>
        <sz val="11.0"/>
      </rPr>
      <t>ND:</t>
    </r>
    <r>
      <rPr>
        <rFont val="Aptos Narrow"/>
        <b val="0"/>
        <color theme="1"/>
        <sz val="11.0"/>
      </rPr>
      <t xml:space="preserve"> cuando no hay dato, usar </t>
    </r>
    <r>
      <rPr>
        <rFont val="Arial Unicode MS"/>
        <b/>
        <color theme="1"/>
        <sz val="10.0"/>
      </rPr>
      <t>ND</t>
    </r>
    <r>
      <rPr>
        <rFont val="Aptos Narrow"/>
        <b val="0"/>
        <color theme="1"/>
        <sz val="11.0"/>
      </rPr>
      <t>. No dejar celdas vacías en campos obligatorios.</t>
    </r>
  </si>
  <si>
    <r>
      <rPr>
        <rFont val="Aptos Narrow"/>
        <b/>
        <color theme="1"/>
        <sz val="11.0"/>
      </rPr>
      <t>Consistencia:</t>
    </r>
    <r>
      <rPr>
        <rFont val="Aptos Narrow"/>
        <b val="0"/>
        <color theme="1"/>
        <sz val="11.0"/>
      </rPr>
      <t xml:space="preserve"> usar siempre los </t>
    </r>
    <r>
      <rPr>
        <rFont val="Aptos Narrow"/>
        <b/>
        <color theme="1"/>
        <sz val="11.0"/>
      </rPr>
      <t>catálogos/listas cerradas</t>
    </r>
    <r>
      <rPr>
        <rFont val="Aptos Narrow"/>
        <b val="0"/>
        <color theme="1"/>
        <sz val="11.0"/>
      </rPr>
      <t xml:space="preserve"> de esta pestaña. No inventar etiquetas nuevas.</t>
    </r>
  </si>
  <si>
    <t xml:space="preserve">Descripción </t>
  </si>
  <si>
    <t>Columna</t>
  </si>
  <si>
    <t>Nombre de campo</t>
  </si>
  <si>
    <t>Qué captura</t>
  </si>
  <si>
    <t>Tipo de dato/formato</t>
  </si>
  <si>
    <t>Valores permitidos</t>
  </si>
  <si>
    <t>Ejemplo</t>
  </si>
  <si>
    <t>Nota</t>
  </si>
  <si>
    <t>Definición operativa (para codebook)</t>
  </si>
  <si>
    <t>Criterio para marcar 2</t>
  </si>
  <si>
    <t>Criterio para marcar 1</t>
  </si>
  <si>
    <t>Criterio para marcar 0</t>
  </si>
  <si>
    <t>Evidencia/indicadores típicos (qué buscar en el texto)</t>
  </si>
  <si>
    <t>Cómo usarla (regla práctica)</t>
  </si>
  <si>
    <t>Alertas frecuentes</t>
  </si>
  <si>
    <t>Columna A</t>
  </si>
  <si>
    <t>Identificador único de la combinación NbS</t>
  </si>
  <si>
    <t>Número entero</t>
  </si>
  <si>
    <t>1–41</t>
  </si>
  <si>
    <t>No repetir</t>
  </si>
  <si>
    <t>Clave numérica única por combinación (unidad de análisis = “combinación”).</t>
  </si>
  <si>
    <t>NA</t>
  </si>
  <si>
    <t>Catálogo maestro 1–41.</t>
  </si>
  <si>
    <t>Asignar según catálogo y validar unicidad.</t>
  </si>
  <si>
    <t>Duplicados por copia/pega; IDs cambiantes entre versiones.</t>
  </si>
  <si>
    <t>Columna B</t>
  </si>
  <si>
    <t>País donde se implementa la combinación de NbS</t>
  </si>
  <si>
    <t>Lista cerrada</t>
  </si>
  <si>
    <t>Guatemala; El Salvador; Colombia; Honduras; México; Ecuador</t>
  </si>
  <si>
    <t>País del caso/paisaje (no sede administrativa si difiere).</t>
  </si>
  <si>
    <t>Nombre exacto del país según lista cerrada.</t>
  </si>
  <si>
    <t>Seleccionar 1 país; mantener etiqueta exacta.</t>
  </si>
  <si>
    <t>Variantes (“ES”, “Méjico”); más de un país en la celda.</t>
  </si>
  <si>
    <t>Columna C</t>
  </si>
  <si>
    <t>Nombre del paisaje (tal como se usa en PARES)</t>
  </si>
  <si>
    <t>Texto corto</t>
  </si>
  <si>
    <t>3–10 palabras</t>
  </si>
  <si>
    <t>Nombre oficial del paisaje en PARES (consistencia para pivotes).</t>
  </si>
  <si>
    <t>Nomenclatura acordada (sin sinónimos).</t>
  </si>
  <si>
    <t>Usar exactamente el nombre oficial del paisaje.</t>
  </si>
  <si>
    <t>Crear nombres nuevos; abreviaturas inconsistentes.</t>
  </si>
  <si>
    <t>Columna D</t>
  </si>
  <si>
    <t>Organización responsable de la combinación NbS analizada</t>
  </si>
  <si>
    <t>ASOVERDE; ADEL La Unión; CBS; CODDEFFAGOLF; Cecropia; ECO; Defensores de la Naturaleza; FENAPROCACAHO; FONCET; FC Puca; Toisán; Tierra Viva</t>
  </si>
  <si>
    <t>Usar exactamente el mismo texto (para pivotes)</t>
  </si>
  <si>
    <t>Entidad beneficiaria responsable del caso (lista cerrada).</t>
  </si>
  <si>
    <t>Etiqueta exacta del catálogo de organizaciones.</t>
  </si>
  <si>
    <t>Seleccionar 1 organización del catálogo; no inventar variantes.</t>
  </si>
  <si>
    <t>“TOISAN/Toisán”; siglas alternativas; nuevas etiquetas.</t>
  </si>
  <si>
    <t>Columna E</t>
  </si>
  <si>
    <t>Combinación_NbS</t>
  </si>
  <si>
    <t>Nombre/título de la combinación</t>
  </si>
  <si>
    <t>Estructura recomendada: acción + objeto + ámbito</t>
  </si>
  <si>
    <t>“Restauración forestal y manejo de especies nativas”</t>
  </si>
  <si>
    <t>Título breve y descriptivo (acción + qué + dónde/ámbito).</t>
  </si>
  <si>
    <t>Verbos de acción + objeto + ámbito.</t>
  </si>
  <si>
    <t>Redactar 6–12 palabras; mantener estilo homogéneo.</t>
  </si>
  <si>
    <t>Títulos vagos o excesivamente largos; duplicar Descripción_NbS.</t>
  </si>
  <si>
    <t>Columna F</t>
  </si>
  <si>
    <t>Descripción_NbS</t>
  </si>
  <si>
    <t>Descripción del paquete de intervención</t>
  </si>
  <si>
    <t>1–3 frases o hasta 3 bullets</t>
  </si>
  <si>
    <t>“Restauración activa… + vivero… + convenios…”</t>
  </si>
  <si>
    <t>Evitar texto largo</t>
  </si>
  <si>
    <t>Resume qué se hace (componentes) y cómo se implementa (sin narrativa extensa).</t>
  </si>
  <si>
    <t>Componentes biofísicos + gobernanza/gestión cuando aplique.</t>
  </si>
  <si>
    <t>1–3 frases o hasta 3 bullets; priorizar lo operativo.</t>
  </si>
  <si>
    <t>Copiar texto largo del perfil; mezclar justificación sin acciones.</t>
  </si>
  <si>
    <t>Columna G</t>
  </si>
  <si>
    <t>Número de beneficiarias/os directos/as</t>
  </si>
  <si>
    <t>Solo dígitos; ND si no hay dato</t>
  </si>
  <si>
    <t>No incluir personal técnico</t>
  </si>
  <si>
    <t>Conteo de población objetivo directa (unidad en H).</t>
  </si>
  <si>
    <t>Cifras reportadas; padrones/listados; estimaciones explícitas.</t>
  </si>
  <si>
    <t>Solo dígitos; si es estimación, aclarar en Nota/desc.</t>
  </si>
  <si>
    <t>Incluir equipo técnico; usar “~”, rangos o texto.</t>
  </si>
  <si>
    <t>Columna H</t>
  </si>
  <si>
    <t>Unidad del conteo de directos/as</t>
  </si>
  <si>
    <t>personas; familias; hogares; productores_as; organizaciones; instituciones; comunidades; otro; ND</t>
  </si>
  <si>
    <t>Usar exactamente estas etiquetas</t>
  </si>
  <si>
    <t>Unidad del conteo de directos/as (consistencia de etiquetas).</t>
  </si>
  <si>
    <t>Etiquetas exactas del catálogo.</t>
  </si>
  <si>
    <t>Seleccionar 1 etiqueta; si no encaja, “otro” y especificar.</t>
  </si>
  <si>
    <t>Inventar etiquetas (“beneficiarios”); variaciones de plural/género.</t>
  </si>
  <si>
    <t>Columna I</t>
  </si>
  <si>
    <t>Perfil de beneficiarias/os directos/as</t>
  </si>
  <si>
    <t>Texto breve</t>
  </si>
  <si>
    <t>Libre (2–4 bullets o 1–2 frases)</t>
  </si>
  <si>
    <t>“Productores(as) de cacao…”</t>
  </si>
  <si>
    <t>No repetir el número</t>
  </si>
  <si>
    <t>Describe quiénes son (tipo de actor, criterios, rasgos relevantes sustentados).</t>
  </si>
  <si>
    <t>“pequeña escala”, “microcuenca X”, “pueblos originarios” (solo si aparece).</t>
  </si>
  <si>
    <t>Describir sin números; 2–4 bullets máximo.</t>
  </si>
  <si>
    <t>Asumir atributos no mencionados; repetir la cifra.</t>
  </si>
  <si>
    <t>Columna J</t>
  </si>
  <si>
    <t>Número de beneficiarias/os indirectos/as</t>
  </si>
  <si>
    <t>Si es estimación, indicarlo</t>
  </si>
  <si>
    <t>Conteo indirecto (externalidades/servicios), distinto de directos.</t>
  </si>
  <si>
    <t>Estimación explícita; cobertura territorial; usuarias/os de servicios.</t>
  </si>
  <si>
    <t>Solo dígitos; aclarar si es estimación.</t>
  </si>
  <si>
    <t>Inventar cifras; duplicar el número de directos.</t>
  </si>
  <si>
    <t>Columna K</t>
  </si>
  <si>
    <t>Unidad del conteo de indirectos/as</t>
  </si>
  <si>
    <t>Mantener consistencia con directos/as</t>
  </si>
  <si>
    <t>Unidad del conteo indirecto (consistencia).</t>
  </si>
  <si>
    <t>Etiquetas del catálogo; coherencia con el “n”.</t>
  </si>
  <si>
    <t>Usar etiqueta exacta; mantener lógica con directos/as.</t>
  </si>
  <si>
    <t>Usar “producers_as” (incorrecto); mezclar unidades sin explicación.</t>
  </si>
  <si>
    <t>Columna L</t>
  </si>
  <si>
    <t>Actores beneficiados indirectamente</t>
  </si>
  <si>
    <t>“Juntas de agua; municipalidad; asistencia técnica…”</t>
  </si>
  <si>
    <t>Incluir actores colectivos/territoriales</t>
  </si>
  <si>
    <t>Actores colectivos/institucionales o población que recibe beneficios indirectos.</t>
  </si>
  <si>
    <t>Comités/juntas, municipalidad, instituciones de agua/ambiente, etc.</t>
  </si>
  <si>
    <t>Listar actores clave (2–4 bullets), sin cuantificar.</t>
  </si>
  <si>
    <t>Lista de actores sin vínculo al beneficio; repetir directos.</t>
  </si>
  <si>
    <t>Columna M</t>
  </si>
  <si>
    <t>Amenaza climática principal</t>
  </si>
  <si>
    <t>AC01–AC10; ND</t>
  </si>
  <si>
    <t>AC01</t>
  </si>
  <si>
    <t>1 amenaza por celda</t>
  </si>
  <si>
    <t>Amenaza climática principal abordada (código AC), sustentada en el texto.</t>
  </si>
  <si>
    <t>Menciones explícitas: sequía, lluvias intensas, olas de calor, etc.</t>
  </si>
  <si>
    <t>Seleccionar 1 AC basado en evidencia; si no hay, ND.</t>
  </si>
  <si>
    <t>Asignar por intuición; poner múltiples códigos en una celda.</t>
  </si>
  <si>
    <t>Columna N</t>
  </si>
  <si>
    <t>Segunda amenaza climática</t>
  </si>
  <si>
    <t>AC06</t>
  </si>
  <si>
    <t>Usar ND si no hay evidencia</t>
  </si>
  <si>
    <t>Amenaza climática secundaria (solo con evidencia explícita).</t>
  </si>
  <si>
    <t>Segunda amenaza mencionada con relevancia para la intervención.</t>
  </si>
  <si>
    <t>Registrar solo si el texto la sustenta; si no, ND.</t>
  </si>
  <si>
    <t>“Rellenar” por completar; duplicar AC01.</t>
  </si>
  <si>
    <t>Columna O</t>
  </si>
  <si>
    <t>Tercera amenaza climática</t>
  </si>
  <si>
    <t>Máximo 3</t>
  </si>
  <si>
    <t>Tercera amenaza climática (opcional).</t>
  </si>
  <si>
    <t>Menciones explícitas adicionales (máx. 3).</t>
  </si>
  <si>
    <t>Máximo 3; priorizar amenazas directamente abordadas.</t>
  </si>
  <si>
    <t>Sobrecodificar; confundir impactos con amenazas.</t>
  </si>
  <si>
    <t>Columna P</t>
  </si>
  <si>
    <t>Amenaza no climática principal</t>
  </si>
  <si>
    <t>ANC01–ANC22; ND</t>
  </si>
  <si>
    <t>ANC03</t>
  </si>
  <si>
    <t>Amenaza no climática principal (ANC) abordada, sustentada en el texto.</t>
  </si>
  <si>
    <t>Degradación, uso de agroquímicos, deforestación, erosión, etc. (según ANC).</t>
  </si>
  <si>
    <t>Seleccionar 1 ANC con evidencia; si no hay, ND.</t>
  </si>
  <si>
    <t>Asignar por supuestos; confundir causa/impacto sin evidencia.</t>
  </si>
  <si>
    <t>Columna Q</t>
  </si>
  <si>
    <t>Segunda amenaza no climática</t>
  </si>
  <si>
    <t>ANC12</t>
  </si>
  <si>
    <t>Amenaza no climática secundaria (solo con evidencia).</t>
  </si>
  <si>
    <t>Segunda amenaza mencionada (máx. 3).</t>
  </si>
  <si>
    <t>Registrar solo si se sustenta; si no, ND.</t>
  </si>
  <si>
    <t>“Rellenar” por completar; duplicar sin razón.</t>
  </si>
  <si>
    <t>Columna R</t>
  </si>
  <si>
    <t>Tercera amenaza no climática</t>
  </si>
  <si>
    <t>Tercera amenaza no climática (opcional).</t>
  </si>
  <si>
    <t>Máximo 3; priorizar amenazas abordadas con acciones.</t>
  </si>
  <si>
    <t>Inflar amenazas; mezclar actividades con amenazas.</t>
  </si>
  <si>
    <t>Columna S</t>
  </si>
  <si>
    <t>Contribución a seguridad ambiental</t>
  </si>
  <si>
    <t>Lista cerrada (0/1/ND)</t>
  </si>
  <si>
    <t>0; 1; ND</t>
  </si>
  <si>
    <t>Marcar 1 solo con mecanismo explícito</t>
  </si>
  <si>
    <t>Marca si hay contribución explícita a uso sostenible/conservación vía mecanismo descrito.</t>
  </si>
  <si>
    <t>Existe mecanismo explícito (acción → efecto ambiental).</t>
  </si>
  <si>
    <t>No hay evidencia o no corresponde.</t>
  </si>
  <si>
    <t>Restauración, conservación, manejo sostenible, control de degradación; mecanismo claro.</t>
  </si>
  <si>
    <t>Marcar 1 solo si hay mecanismo; si no hay info, ND; si no aplica, 0.</t>
  </si>
  <si>
    <t>Marcar 1 por “ser ambiental” sin mecanismo; inferencias fuertes.</t>
  </si>
  <si>
    <t>Columna T</t>
  </si>
  <si>
    <t>Contribución a seguridad hídrica</t>
  </si>
  <si>
    <t>Marcar 1 con sustento claro</t>
  </si>
  <si>
    <t>Marca contribución explícita a disponibilidad/calidad/continuidad/acceso de agua vía mecanismo.</t>
  </si>
  <si>
    <t>Mecanismo hídrico claro (recarga/cosecha/protección nacientes/gobernanza del servicio).</t>
  </si>
  <si>
    <t>“recarga”, “cosecha de agua”, “protección de nacientes”, “juntas de agua”, “tratamiento/saneamiento” (si aplica).</t>
  </si>
  <si>
    <t>Marcar 1 solo con vínculo claro; si no hay info, ND.</t>
  </si>
  <si>
    <t>Asumir por reforestación sin evidencia; confundir riego con agua potable.</t>
  </si>
  <si>
    <t>Columna U</t>
  </si>
  <si>
    <t>Contribución a seguridad alimentaria</t>
  </si>
  <si>
    <t>No inferir si no está sustentado</t>
  </si>
  <si>
    <t>Marca si el texto vincula la intervención con acceso/disponibilidad/estabilidad de alimentos.</t>
  </si>
  <si>
    <t>Vínculo explícito a producción/consumo/abastecimiento alimentario.</t>
  </si>
  <si>
    <t>“producción de alimentos”, “huertos”, “agroecología alimentaria”, “nutrición”, “granos básicos” (si aparece).</t>
  </si>
  <si>
    <t>Marcar 1 solo con evidencia explícita; si no hay info, ND.</t>
  </si>
  <si>
    <t>Confundir ingresos con alimentación; asumir por “ruralidad”.</t>
  </si>
  <si>
    <t>Columna V</t>
  </si>
  <si>
    <t>Contribución a seguridad económica</t>
  </si>
  <si>
    <t>1 si protege/recupera ingresos</t>
  </si>
  <si>
    <t>Marca si hay evidencia de proteger/crear ingresos/empleo/activos productivos vía mecanismo.</t>
  </si>
  <si>
    <t>Vínculo explícito a ingresos, empleo, productividad, mercado o reducción de pérdidas económicas.</t>
  </si>
  <si>
    <t>“ingresos”, “empleo”, “productividad”, “mercado”, “cadena de valor”, “diversificación”, “reducción de pérdidas”.</t>
  </si>
  <si>
    <t>Marcar 1 solo con mecanismo económico explícito; si no hay info, ND.</t>
  </si>
  <si>
    <t>Marcar 1 por capacitaciones genéricas; beneficios vagos sin mecanismo.</t>
  </si>
  <si>
    <t>Columna W</t>
  </si>
  <si>
    <t>Contribución a seguridad comunitaria</t>
  </si>
  <si>
    <t>1 si hay acuerdos/gestión colectiva</t>
  </si>
  <si>
    <t>Marca si hay mecanismos de cohesión/convivencia/gestión colectiva que reducen tensiones.</t>
  </si>
  <si>
    <t>Evidencia de acuerdos, espacios colectivos, reglas compartidas, gestión colaborativa vinculada a convivencia.</t>
  </si>
  <si>
    <t>“acuerdos”, “comités”, “co-manejo”, “mesas”, “resolución de conflictos”, “gestión colectiva”.</t>
  </si>
  <si>
    <t>Marcar 1 solo con evidencia de mecanismo y finalidad comunitaria; si no hay, ND.</t>
  </si>
  <si>
    <t>Asumir cohesión por “participación”; confundir coordinación operativa con prevención de tensiones.</t>
  </si>
  <si>
    <t>Columna X</t>
  </si>
  <si>
    <t>Contribución a seguridad sanitaria</t>
  </si>
  <si>
    <t>1 si hay vínculo claro con salud/agua potable</t>
  </si>
  <si>
    <t>Marca vínculo explícito con salud (agua potable/saneamiento/contaminación con efecto sanitario).</t>
  </si>
  <si>
    <t>Vínculo explícito a agua para consumo, saneamiento o reducción de riesgos sanitarios.</t>
  </si>
  <si>
    <t>“agua potable”, “saneamiento”, “reducción de contaminación”, “enfermedades hídricas” (si aparece).</t>
  </si>
  <si>
    <t>Marcar 1 solo si hay evidencia clara; si no hay info, ND.</t>
  </si>
  <si>
    <t>Confundir “agua” en general con salud; asumir efectos sanitarios.</t>
  </si>
  <si>
    <t>Columna Y</t>
  </si>
  <si>
    <t>Contribución a seguridad política (derechos)</t>
  </si>
  <si>
    <t>1 solo con evidencia clara</t>
  </si>
  <si>
    <t>Marca evidencia explícita de enfoque de derechos, inclusión/no exclusión, salvaguardas, participación sustantiva.</t>
  </si>
  <si>
    <t>Evidencia explícita de derechos/inclusión/salvaguardas o mecanismos vinculantes de participación.</t>
  </si>
  <si>
    <t>“derechos”, “inclusión”, “no discriminación”, “salvaguardas”, “consentimiento”, “mecanismos de queja”.</t>
  </si>
  <si>
    <t>Marcar 1 solo con evidencia directa; si no hay, ND.</t>
  </si>
  <si>
    <t>Marcar 1 por “participativo” sin sustento; asumir enfoque de género/pueblos originarios.</t>
  </si>
  <si>
    <t>Columna Z</t>
  </si>
  <si>
    <t>Total dimensiones con valor 1 (S–Y)</t>
  </si>
  <si>
    <t>Número entero / ND</t>
  </si>
  <si>
    <t>0–7; ND</t>
  </si>
  <si>
    <t>Idealmente calculado automático</t>
  </si>
  <si>
    <t>Suma de S a Y con valor 1 (recomendado automatizar).</t>
  </si>
  <si>
    <t>Conteo de celdas con “1” en S–Y.</t>
  </si>
  <si>
    <t>Calcular con fórmula; si hay ND, mantener suma solo de 1s y revisar consistencia.</t>
  </si>
  <si>
    <t>Errores manuales; contar ND como 1; olvidar actualizar.</t>
  </si>
  <si>
    <t>Columna AA</t>
  </si>
  <si>
    <t>Justificación de seguridad</t>
  </si>
  <si>
    <t>Libre (1–2 frases o 2–4 bullets)</t>
  </si>
  <si>
    <t>“Recarga/almacenamiento → hídrica; restauración ribereña → ambiental…”</t>
  </si>
  <si>
    <t>No repetir números; describir mecanismo</t>
  </si>
  <si>
    <t>Explicita mecanismo causal (amenaza → acción → efecto → dimensión).</t>
  </si>
  <si>
    <t>Conectores causales (“reduce”, “mejora”, “previene”) + mecanismo (acuerdo, obra, restauración).</t>
  </si>
  <si>
    <t>Escribir 2–4 bullets; anclar en evidencia del texto.</t>
  </si>
  <si>
    <t>Frases aspiracionales; lista de beneficios sin mecanismo; repetir 1/0.</t>
  </si>
  <si>
    <t>Columna AB</t>
  </si>
  <si>
    <t>Rasgo transformador: cambio de trayectoria</t>
  </si>
  <si>
    <t>Lista cerrada (0/1/2/ND)</t>
  </si>
  <si>
    <t>0; 1; 2; ND</t>
  </si>
  <si>
    <t>Usar 2/1/0 según rúbrica (abajo)</t>
  </si>
  <si>
    <t>Codifica si la intervención cambia la trayectoria (no solo ajusta): reorienta objetivos/prácticas/modelo hacia un estado más resiliente y sostenible.</t>
  </si>
  <si>
    <t>Hay cambio explícito de rumbo (transición de modelo, reconversión, redefinición de uso del suelo/estrategia), con medidas coherentes y justificadas.</t>
  </si>
  <si>
    <t>Hay cambio incipiente (piloto/adopción parcial/cambio en parte del sistema o grupo pequeño) sin evidencia de sustitución del modelo dominante.</t>
  </si>
  <si>
    <t>No hay cambio de trayectoria; mejoras incrementales o acciones aisladas dentro del mismo enfoque.</t>
  </si>
  <si>
    <t>“transición”, “cambio de modelo”, “reconversión”, “regenerativo”, “sustitución de agroquímicos”, “reorientación del uso del suelo”; medidas que reemplazan prácticas dominantes.</t>
  </si>
  <si>
    <t>Marcar 2 solo con sustento sin inferencias; 1 si “hay algo” pero falta escala/sustitución; 0 si no aparece.</t>
  </si>
  <si>
    <t>Usar palabras clave sin contexto; confundir “mejorar” con “cambiar de modelo”.</t>
  </si>
  <si>
    <t>Columna AC</t>
  </si>
  <si>
    <t>Rasgo transformador: articulación multiescala</t>
  </si>
  <si>
    <t>Usar 2/1/0 según rúbrica</t>
  </si>
  <si>
    <t>Codifica si actúa y se sostiene mediante articulación de escalas (finca–comunidad–microcuenca–municipio–instituciones), conectando decisiones entre niveles.</t>
  </si>
  <si>
    <t>Hay diseño multinivel claro: roles por escala + mecanismos de coordinación (acuerdos, reglamentos, plataformas, comités) + interacción demostrable entre niveles.</t>
  </si>
  <si>
    <t>Vínculos entre escalas mencionados pero puntuales o sin mecanismos claros (alianzas sin roles, municipio sin instrumento).</t>
  </si>
  <si>
    <t>Solo opera en una escala sin coordinación/conexión con otras escalas.</t>
  </si>
  <si>
    <t>Municipalidad/entes rectores + juntas/comités + reglas/acuerdos; “plataforma”, “red”, “co-manejo”, “reglamento”, “articulación institucional”.</t>
  </si>
  <si>
    <t>Marcar 2 si hay roles + instrumento + conexión; 1 si hay vínculos incompletos; 0 si es monoescalar.</t>
  </si>
  <si>
    <t>Marcar 2 por “alianza” genérica; confundir “participantes” con gobernanza multinivel.</t>
  </si>
  <si>
    <t>Columna AD</t>
  </si>
  <si>
    <t>Rasgo transformador: innovación</t>
  </si>
  <si>
    <t>Codifica innovación relevante al contexto (tecnológica, institucional, social o financiera) que habilita nuevas capacidades/soluciones.</t>
  </si>
  <si>
    <t>Solución/mecanismo novedoso para el territorio y problema (p. ej., monitoreo comunitario digital, biofábricas, co-manejo, financiamiento/mercados nuevos) con propósito y adopción claros.</t>
  </si>
  <si>
    <t>Mejora/adaptación menor (optimización, capacitación estándar, réplica) o innovación sin evidencia de uso/función.</t>
  </si>
  <si>
    <t>No hay innovación identificable.</t>
  </si>
  <si>
    <t>“piloto”, “nuevo mecanismo”, “herramienta/plataforma”, “biofábrica”, “ciencia ciudadana”, “nuevo arreglo/instrumento”.</t>
  </si>
  <si>
    <t>Marcar 2 si hay novedad + propósito + uso; 1 si es incipiente o sin evidencia de funcionamiento; 0 si no aparece.</t>
  </si>
  <si>
    <t>Llamar “innovación” a cualquier capacitación; novedad no descrita.</t>
  </si>
  <si>
    <t>Columna AE</t>
  </si>
  <si>
    <t>Rasgo transformador: persistencia/sostenibilidad</t>
  </si>
  <si>
    <t>Codifica condiciones de permanencia más allá del proyecto: institucionalización, capacidades, O&amp;M, financiamiento, reglas y responsabilidades.</t>
  </si>
  <si>
    <t>Mecanismos explícitos: reglamentos/acuerdos vigentes o avanzados + capacidades instaladas (p. ej., formación de formadores/as) + recursos/plan de O&amp;M/financiamiento/alianzas de largo plazo.</t>
  </si>
  <si>
    <t>Elementos parciales (capacitaciones, comités, alianzas) sin claridad de continuidad (sin O&amp;M, sin financiamiento, sin reglas/responsables).</t>
  </si>
  <si>
    <t>No se describen mecanismos de continuidad; dependencia total del proyecto.</t>
  </si>
  <si>
    <t>“reglamento”, “institucionalización”, “mantenimiento”, “tarifas”, “plan de O&amp;M”, “acuerdos de operación”, “vivero permanente”.</t>
  </si>
  <si>
    <t>Marcar 2 solo si hay mecanismo + responsable/instrumento; 1 si hay intención parcial; 0 si no hay continuidad.</t>
  </si>
  <si>
    <t>Confundir “capacitación” con sostenibilidad; asumir continuidad por “alianzas”.</t>
  </si>
  <si>
    <t>Columna AF</t>
  </si>
  <si>
    <t>Rasgo transformador: alcance sistémico</t>
  </si>
  <si>
    <t>Codifica si apunta a cambios a escala de sistema (paisaje/microcuenca/red) e integra drivers y componentes.</t>
  </si>
  <si>
    <t>Enfoque integral: combina componentes (biofísicos + sociales/gobernanza) y/o cubre varias comunidades/sitios con lógica de paisaje/microcuenca, abordando causas y retroalimentaciones.</t>
  </si>
  <si>
    <t>Cobertura/componentes múltiples pero alcance sistémico limitado (acciones dispersas, sin lógica de sistema, enfoque sectorial).</t>
  </si>
  <si>
    <t>Intervención puntual sin integración ni pretensión sistémica.</t>
  </si>
  <si>
    <t>“paisaje/microcuenca”, “plan integrado”, “portafolio”, “drivers”, “conectividad”, “red de comités”.</t>
  </si>
  <si>
    <t>Marcar 2 si hay lógica de sistema + integración; 1 si es parcial; 0 si es focalizado/aislado.</t>
  </si>
  <si>
    <t>Confundir “varias actividades” con “sistémico”; dispersión sin lógica.</t>
  </si>
  <si>
    <t>Columna AG</t>
  </si>
  <si>
    <t>Rasgo transformador: reestructuración de gobernanza</t>
  </si>
  <si>
    <t>Codifica reestructuración de reglas/roles/arreglos: redistribuye autoridad, crea nuevas instituciones/arreglos o cambia toma de decisiones/gestión.</t>
  </si>
  <si>
    <t>Cambio estructural demostrable: co-manejo, reglamentos operativos, mecanismos de cumplimiento/transparencia, nuevas instancias con mandato, redistribución explícita de competencias/decisión.</t>
  </si>
  <si>
    <t>Fortalecimiento organizativo/ coordinación sin evidencia de cambio estructural (capacidades sin nuevos mandatos/reglas).</t>
  </si>
  <si>
    <t>No hay cambios en reglas/roles/arreglos; no altera arquitectura de decisión.</t>
  </si>
  <si>
    <t>“co-manejo”, “reglas de uso”, “cumplimiento”, “rendición de cuentas”, “acuerdos vinculantes”, “plataformas de decisión”, “incidencia normativa”.</t>
  </si>
  <si>
    <t>Marcar 2 si hay regla/mandato/arreglo nuevo operativo; 1 si es coordinación sin cambio estructural; 0 si no hay.</t>
  </si>
  <si>
    <t>Confundir “reuniones” con reestructuración; declarar “incidencia” sin instrumento.</t>
  </si>
  <si>
    <t>Columna AH</t>
  </si>
  <si>
    <t>Puntaje total de rasgos transformadores</t>
  </si>
  <si>
    <t>0–12; ND</t>
  </si>
  <si>
    <t>Idealmente calculado automáticamente</t>
  </si>
  <si>
    <t>Suma de T1–T6 (cada uno 0–2). Si alguno está en ND, usar ND (recomendado) o documentar regla alternativa.</t>
  </si>
  <si>
    <t>Valores T1–T6 completos (0/1/2).</t>
  </si>
  <si>
    <t>Calcular con fórmula: =SI(CONTAR.SI(T1:T6,"ND")&gt;0,"ND",SUMA(T1:T6)).</t>
  </si>
  <si>
    <t>Errores manuales; sumar incluyendo ND; cambiar la regla sin documentar.</t>
  </si>
  <si>
    <t>Columna AI</t>
  </si>
  <si>
    <t>Sustento textual de la codificación de rasgos</t>
  </si>
  <si>
    <t>Libre (1–2 frases o 2–4 bullets); ND si no hay</t>
  </si>
  <si>
    <t>“Se adopta modelo agroecológico…; se formalizan acuerdos…”</t>
  </si>
  <si>
    <t>No copiar textos largos</t>
  </si>
  <si>
    <t>Resumen de evidencia (mecanismo + instrumento + alcance) que justifica los valores 0/1/2 en T1–T6.</t>
  </si>
  <si>
    <t>Acciones/instrumentos: acuerdos, reglamentos, comités, adopción de prácticas, escalamiento, financiamiento, O&amp;M.</t>
  </si>
  <si>
    <t>Escribir bullets breves; anclar al texto fuente; no repetir solo palabras clave.</t>
  </si>
  <si>
    <t>Justificaciones genéricas; copiar párrafos completos; describir intenciones sin “cómo”.</t>
  </si>
  <si>
    <t>Columna AJ</t>
  </si>
  <si>
    <t>Brecha de gobernanza principal vinculada a la combinación NbS (selección de subbrecha).</t>
  </si>
  <si>
    <t>Ver catálogo BioCAM (B1.1–B4.6); ND</t>
  </si>
  <si>
    <t>B2.2</t>
  </si>
  <si>
    <t>1 brecha por celda. Si no hay evidencia: ND.</t>
  </si>
  <si>
    <t>Subbrecha más determinante/explicativa del límite de transformación de la NbS (tipología BioCAM). Se codifica cuando el texto describe o sugiere de forma rastreable una barrera institucional/gobernanza asociada.</t>
  </si>
  <si>
    <t>No aplica (es selección de categoría, no escala).</t>
  </si>
  <si>
    <t>No aplica</t>
  </si>
  <si>
    <t>Referencias a: mismatch escala admin vs cuenca; corto plazo político; falta de instrumentos; silos; participación consultiva; falta de capacidad; financiamiento; monitoreo/aprendizaje; liderazgo, etc.</t>
  </si>
  <si>
    <t>Priorizar la brecha más crítica (la que más frena implementación/escala/sostenibilidad/decisión).</t>
  </si>
  <si>
    <t>No escoger “por lo esperable”; evitar códigos si solo hay palabras sueltas sin mecanismo.</t>
  </si>
  <si>
    <t>Columna AK</t>
  </si>
  <si>
    <t>Segunda brecha más relevante (si aplica).</t>
  </si>
  <si>
    <t>B1.2</t>
  </si>
  <si>
    <t>No repetir el mismo código de Brecha_NBS_1.</t>
  </si>
  <si>
    <t>Subbrecha adicional distinta a Brecha_NBS_1, cuando el texto evidencia más de una barrera relevante.</t>
  </si>
  <si>
    <t>Igual que arriba.</t>
  </si>
  <si>
    <t>Usar solo si agrega explicación (no “llenar por llenar”).</t>
  </si>
  <si>
    <t>Evitar listar 2–3 brechas si el insumo solo sustenta 1.</t>
  </si>
  <si>
    <t>Columna AL</t>
  </si>
  <si>
    <t>Tercera brecha relevante (si aplica).</t>
  </si>
  <si>
    <t>Si solo hay 1–2 brechas, completar con ND.</t>
  </si>
  <si>
    <t>Subbrecha terciaria, solo si hay evidencia suficiente.</t>
  </si>
  <si>
    <t>Orden sugerido: 1 = más determinante, 2 = secundaria, 3 = complementaria.</t>
  </si>
  <si>
    <t>No sobrecodificar; si hay duda razonable, prefiera ND.</t>
  </si>
  <si>
    <t>Columna AM</t>
  </si>
  <si>
    <t>Sustento breve para las brechas codificadas (1–3).</t>
  </si>
  <si>
    <t>Libre (1–2 frases o 2–4 bullets); ND</t>
  </si>
  <si>
    <t>B2.2: no hay instrumento formal de coordinación; B1.2: ciclos políticos cortos dificultan continuidad</t>
  </si>
  <si>
    <t>No repetir códigos sin explicación; describir mecanismo</t>
  </si>
  <si>
    <t>Campo de auditoría: justifica por qué se eligieron esas subbrechas, describiendo el vínculo brecha → efecto sobre la NbS (implementación/escala/sostenibilidad/decisión).</t>
  </si>
  <si>
    <t>Señales: “no existe”, “débil”, “sin mandato”, “depende del proyecto”, “cambio de gobierno”, “silos”, “consultivo”, “falta de capacidad”, “sin monitoreo/ajuste”.</t>
  </si>
  <si>
    <t>Usar formato consistente: “código: evidencia (mecanismo y efecto)”.</t>
  </si>
  <si>
    <t>No usar keywords como prueba automática; si no hay mecanismo/relación, no codificar.</t>
  </si>
  <si>
    <t>AMENAZAS CLIMÁTICAS Y NO CLIMÁTICAS  – valores permitidos</t>
  </si>
  <si>
    <t>Instrucciones</t>
  </si>
  <si>
    <r>
      <rPr>
        <rFont val="Aptos Narrow"/>
        <color theme="1"/>
        <sz val="11.0"/>
      </rPr>
      <t xml:space="preserve">Esta tipología se utiliza para codificar las amenazas climáticas (AC) y no climáticas (ANC) asociadas a cada paisaje/caso, con base en la información generada en: (i) El manual de talleres participativos de diagnóstico de vulnerabilidad y fragilidad de PARES y (ii) los resultados sistematizados de esos talleres en cada paisaje. Estas amenazas deben estar vinculadas al diseño de los proyectos piloto (en casos tipo pares) o, cuando corresponda, al portafolio de proyectos/medidas (en ejercicios tipo BLF).
Las columnas m–r registran las amenazas priorizadas del caso, usando únicamente los códigos del listado permitido (ac01–ac10 y anc01–anc22). Cada celda debe contener un solo código (p. ej., ac01 o anc03), sin texto adicional.
</t>
    </r>
    <r>
      <rPr>
        <rFont val="Aptos Narrow"/>
        <b/>
        <color theme="1"/>
        <sz val="11.0"/>
      </rPr>
      <t xml:space="preserve">Reglas mínimas de codificación </t>
    </r>
    <r>
      <rPr>
        <rFont val="Aptos Narrow"/>
        <color theme="1"/>
        <sz val="11.0"/>
      </rPr>
      <t>(para uso consistente)
* Codificar solo con evidencia rastreable en el material del caso (explícita o claramente inferible sin “salto” interpretativo). si no hay evidencia suficiente: nd.
* Priorizar las amenazas que mejor expliquen el problema que la intervención busca atender y que están más directamente conectadas con el diseño del piloto/portafolio (según lo reportado en talleres y documentos del caso).
* No repetir el mismo código dentro de m–r.
* Cuando existan múltiples amenazas, seleccionar las más determinantes para el caso (las que condicionan decisiones de ubicación, beneficiarias/os, actividades, cronograma, costos, riesgos o sostenibilidad).</t>
    </r>
  </si>
  <si>
    <t>AMENAZAS CLIMÁTICAS (AC) - Valores permitidos</t>
  </si>
  <si>
    <t>Este grupo captura los eventos y patrones climáticos (p. ej., sequía, lluvias intensas, tormentas, inundaciones, olas de calor) que generan presión sobre los SES y que son relevantes para el diseño de las combinaciones de NbS. Se codifican con base en evidencia rastreable del diagnóstico participativo y su vínculo explícito con el piloto o portafolio (según corresponda).</t>
  </si>
  <si>
    <t>Código</t>
  </si>
  <si>
    <t>Grupo (según guía)</t>
  </si>
  <si>
    <t>Amenaza (definición operativa)</t>
  </si>
  <si>
    <t>Ejemplos típicos (no exhaustivo)</t>
  </si>
  <si>
    <t>Exceso de calor</t>
  </si>
  <si>
    <t>Sequía / déficit de precipitación</t>
  </si>
  <si>
    <t>períodos prolongados sin lluvia, estiajes</t>
  </si>
  <si>
    <t>AC02</t>
  </si>
  <si>
    <t>Exceso de precipitación</t>
  </si>
  <si>
    <t>Lluvias intensas y erráticas / variabilidad de precipitación</t>
  </si>
  <si>
    <t>lluvias irregulares, cambios en patrón estacional</t>
  </si>
  <si>
    <t>AC03</t>
  </si>
  <si>
    <t>Tormentas fuertes / eventos extremos</t>
  </si>
  <si>
    <t>ciclones/huracanes/tormentas severas</t>
  </si>
  <si>
    <t>AC04</t>
  </si>
  <si>
    <t>Inundaciones</t>
  </si>
  <si>
    <t>desbordamientos, anegamientos</t>
  </si>
  <si>
    <t>AC05</t>
  </si>
  <si>
    <t>Olas de calor / temperaturas extremas / incremento de temperatura</t>
  </si>
  <si>
    <t>calor extremo, máximas anómalas</t>
  </si>
  <si>
    <t>Escasez de agua / estrés hídrico (cuando se reporta como “disponibilidad/caudales” más que como sequía)</t>
  </si>
  <si>
    <t>disminución de caudales, menor disponibilidad para consumo/producción</t>
  </si>
  <si>
    <t>AC07</t>
  </si>
  <si>
    <t>Incendios forestales (cuando se reportan como amenaza climática/estacional)</t>
  </si>
  <si>
    <t>incendios recurrentes en época seca</t>
  </si>
  <si>
    <t>AC08</t>
  </si>
  <si>
    <t>Salinización asociada a estrés hídrico (si aplica en zona costera o de riego)</t>
  </si>
  <si>
    <t>salinización de suelos/agua</t>
  </si>
  <si>
    <t>AC09</t>
  </si>
  <si>
    <t>Deslizamientos/derrumbes asociados a lluvia extrema</t>
  </si>
  <si>
    <t>inestabilidad de laderas por lluvias intensas</t>
  </si>
  <si>
    <t>AC10</t>
  </si>
  <si>
    <t>Costero-marina</t>
  </si>
  <si>
    <t>Mareas extremas / marejadas / aumento del nivel del mar</t>
  </si>
  <si>
    <t>marejadas, inundación costera, intrusión salina</t>
  </si>
  <si>
    <t>Alertas frecuentes (AC):</t>
  </si>
  <si>
    <t>No confundir AC01 (sequía) con AC06 (estrés hídrico): use AC06 cuando la evidencia hable de caudales/disponibilidad más que de falta de lluvia.</t>
  </si>
  <si>
    <t>No marcar AC07 (incendios) si el texto los trata solo como práctica antrópica sin estacionalidad/clima; en ese caso evaluar ANC04.</t>
  </si>
  <si>
    <t>AMENAZAS NO CLIMÁTICAS (AC) - Valores permitidos</t>
  </si>
  <si>
    <t>Este grupo captura los factores no climáticos (p. ej., degradación de suelos, contaminación, extracción excesiva de agua, tala, sobrepastoreo, dinámicas de mercado, exclusión, debilidad institucional) que agravan la vulnerabilidad o limitan la resiliencia del paisaje y que condicionan el diseño, implementación y sostenibilidad de las NbS. S</t>
  </si>
  <si>
    <t>ANC01</t>
  </si>
  <si>
    <t>Suelo y agua</t>
  </si>
  <si>
    <t>Contaminación de agua y/o suelo</t>
  </si>
  <si>
    <t>minería, agroquímicos, aguas residuales, basura</t>
  </si>
  <si>
    <t>ANC02</t>
  </si>
  <si>
    <t>Extracción excesiva de agua / desvío de cauces</t>
  </si>
  <si>
    <t>conflictos entre usuarias/os, captaciones, canalizaciones</t>
  </si>
  <si>
    <t>Erosión, sedimentación y degradación de suelos</t>
  </si>
  <si>
    <t>manejo inadecuado, prácticas agresivas</t>
  </si>
  <si>
    <t>ANC04</t>
  </si>
  <si>
    <t>Ecosistemas (general)</t>
  </si>
  <si>
    <t>Incendios antrópicos / fragmentación de bosques y hábitats</t>
  </si>
  <si>
    <t>quemas no controladas, fragmentación</t>
  </si>
  <si>
    <t>ANC05</t>
  </si>
  <si>
    <t>Sobrepastoreo / presión ganadera</t>
  </si>
  <si>
    <t>presión sobre bosques y fuentes de agua</t>
  </si>
  <si>
    <t>ANC06</t>
  </si>
  <si>
    <t>Flora y fauna</t>
  </si>
  <si>
    <t>Cacería</t>
  </si>
  <si>
    <t>caza de fauna silvestre</t>
  </si>
  <si>
    <t>ANC07</t>
  </si>
  <si>
    <t>Medios de vida</t>
  </si>
  <si>
    <t>Mercados inestables / shocks de precios / inflación / comercio injusto</t>
  </si>
  <si>
    <t>variación de precios, pérdida de rentabilidad</t>
  </si>
  <si>
    <t>ANC08</t>
  </si>
  <si>
    <t>Desigualdad en acceso a recursos / pobreza extrema</t>
  </si>
  <si>
    <t>barreras de acceso, vulnerabilidad socioeconómica</t>
  </si>
  <si>
    <t>ANC09</t>
  </si>
  <si>
    <t>Gobernanza</t>
  </si>
  <si>
    <t>Corrupción en gestión de recursos naturales</t>
  </si>
  <si>
    <t>captura, uso discrecional de recursos</t>
  </si>
  <si>
    <t>ANC10</t>
  </si>
  <si>
    <t>Falta de políticas de adaptación o políticas que llevan a maladaptación</t>
  </si>
  <si>
    <t>incentivos perversos, medidas no adecuadas</t>
  </si>
  <si>
    <t>ANC11</t>
  </si>
  <si>
    <t>Falta de planificación pública sostenible</t>
  </si>
  <si>
    <t>ausencia de instrumentos, planificación débil</t>
  </si>
  <si>
    <t>Debilidad institucional en aplicación de medidas</t>
  </si>
  <si>
    <t>baja fiscalización, bajo cumplimiento</t>
  </si>
  <si>
    <t>ANC13</t>
  </si>
  <si>
    <t>Migración y pérdida de mano de obra / ruptura generacional</t>
  </si>
  <si>
    <t>salida de jóvenes, pérdida de capacidades locales</t>
  </si>
  <si>
    <t>ANC14</t>
  </si>
  <si>
    <t>Estructuras de gobernanza excluyentes</t>
  </si>
  <si>
    <t>exclusión de mujeres, juventudes, pueblos originarios</t>
  </si>
  <si>
    <t>ANC15</t>
  </si>
  <si>
    <t>Extracción de flora y fauna</t>
  </si>
  <si>
    <t>tráfico/extracción de especies</t>
  </si>
  <si>
    <t>ANC16</t>
  </si>
  <si>
    <t>Extracción de leña</t>
  </si>
  <si>
    <t>presión por energía doméstica</t>
  </si>
  <si>
    <t>ANC17</t>
  </si>
  <si>
    <t>Pesca no regulada / sobreexplotación</t>
  </si>
  <si>
    <t>pesca ilegal, sobrepesca</t>
  </si>
  <si>
    <t>ANC18</t>
  </si>
  <si>
    <t>Pesca con chinchorros y redes de arrastre</t>
  </si>
  <si>
    <t>artes destructivas</t>
  </si>
  <si>
    <t>ANC19</t>
  </si>
  <si>
    <t>Tala</t>
  </si>
  <si>
    <t>tala ilegal/insostenible</t>
  </si>
  <si>
    <t>ANC20</t>
  </si>
  <si>
    <t>Otras</t>
  </si>
  <si>
    <t>Plagas o pandemias</t>
  </si>
  <si>
    <t>brotes no necesariamente atribuibles al clima</t>
  </si>
  <si>
    <t>ANC21</t>
  </si>
  <si>
    <t>Accidentes industriales y fallos en infraestructura</t>
  </si>
  <si>
    <t>colapsos, derrames, fallas críticas</t>
  </si>
  <si>
    <t>ANC22</t>
  </si>
  <si>
    <t>Presencia de grupos armados / violencia / economías ilícitas</t>
  </si>
  <si>
    <t>control territorial, coerción</t>
  </si>
  <si>
    <t>Alertas frecuentes (ANC):</t>
  </si>
  <si>
    <r>
      <rPr>
        <rFont val="Aptos Narrow"/>
        <color theme="1"/>
        <sz val="11.0"/>
      </rPr>
      <t xml:space="preserve">No usar </t>
    </r>
    <r>
      <rPr>
        <rFont val="Aptos Narrow"/>
        <b/>
        <color theme="1"/>
        <sz val="11.0"/>
      </rPr>
      <t>ANC10</t>
    </r>
    <r>
      <rPr>
        <rFont val="Aptos Narrow"/>
        <color theme="1"/>
        <sz val="11.0"/>
      </rPr>
      <t xml:space="preserve"> si el texto no menciona políticas/incentivos/medidas; si lo que aparece es “falta de coordinación” o “planificación débil”, suele ser </t>
    </r>
    <r>
      <rPr>
        <rFont val="Aptos Narrow"/>
        <b/>
        <color theme="1"/>
        <sz val="11.0"/>
      </rPr>
      <t>ANC11</t>
    </r>
    <r>
      <rPr>
        <rFont val="Aptos Narrow"/>
        <color theme="1"/>
        <sz val="11.0"/>
      </rPr>
      <t xml:space="preserve"> o </t>
    </r>
    <r>
      <rPr>
        <rFont val="Aptos Narrow"/>
        <b/>
        <color theme="1"/>
        <sz val="11.0"/>
      </rPr>
      <t>ANC12</t>
    </r>
    <r>
      <rPr>
        <rFont val="Aptos Narrow"/>
        <color theme="1"/>
        <sz val="11.0"/>
      </rPr>
      <t xml:space="preserve"> según el caso.</t>
    </r>
  </si>
  <si>
    <r>
      <rPr>
        <rFont val="Aptos Narrow"/>
        <color theme="1"/>
        <sz val="11.0"/>
      </rPr>
      <t xml:space="preserve">Evitar mezclar </t>
    </r>
    <r>
      <rPr>
        <rFont val="Aptos Narrow"/>
        <b/>
        <color theme="1"/>
        <sz val="11.0"/>
      </rPr>
      <t>ANC02 (extracción/desvío)</t>
    </r>
    <r>
      <rPr>
        <rFont val="Aptos Narrow"/>
        <color theme="1"/>
        <sz val="11.0"/>
      </rPr>
      <t xml:space="preserve"> con “agua escasa” (eso es </t>
    </r>
    <r>
      <rPr>
        <rFont val="Aptos Narrow"/>
        <b/>
        <color theme="1"/>
        <sz val="11.0"/>
      </rPr>
      <t>AC06</t>
    </r>
    <r>
      <rPr>
        <rFont val="Aptos Narrow"/>
        <color theme="1"/>
        <sz val="11.0"/>
      </rPr>
      <t xml:space="preserve"> si es caudal/disponibilidad climática; o </t>
    </r>
    <r>
      <rPr>
        <rFont val="Aptos Narrow"/>
        <b/>
        <color theme="1"/>
        <sz val="11.0"/>
      </rPr>
      <t>ANC02</t>
    </r>
    <r>
      <rPr>
        <rFont val="Aptos Narrow"/>
        <color theme="1"/>
        <sz val="11.0"/>
      </rPr>
      <t xml:space="preserve"> si se explica por captaciones, desvíos, usos intensivos).</t>
    </r>
  </si>
  <si>
    <t>Seguridad  – valores permitidos</t>
  </si>
  <si>
    <t>Marco conceptual de sustento</t>
  </si>
  <si>
    <t xml:space="preserve">Para este ejercicio, analizamos las dimensiones de seguridad a la luz del enfoque de PNUMA sobre el nexo ambiente–clima–seguridad, que reconoce que los impactos climáticos y la degradación ambiental pueden amplificar vulnerabilidades existentes (p. ej., sobre medios de vida, acceso a recursos, salud y cohesión social) y, en ciertos contextos, agravar tensiones y riesgos para la paz y la seguridad. En este marco, la seguridad se entiende de forma centrada en las personas, poniendo atención a cómo las amenazas ambientales afectan condiciones de vida, capacidades institucionales y comunitarias de respuesta, y la gobernanza territorial. 
En coherencia con este enfoque, operacionalizamos el análisis mediante siete dimensiones comúnmente utilizadas en marcos de seguridad humana y ambiente–seguridad (ambiental, hídrica, alimentaria, económica, comunitaria, sanitaria y política/derechos). Cada dimensión se codifica en formato binario (0/1/ND) y solo se marca “1” cuando el caso describe un mecanismo explícito (amenaza/condición → acción SbN → efecto → dimensión), evitando inferencias no sustentadas. </t>
  </si>
  <si>
    <r>
      <rPr>
        <rFont val="Aptos Narrow"/>
        <color theme="1"/>
        <sz val="11.0"/>
      </rPr>
      <t>Esta tipología se utiliza para codificar las dimensiones de seguridad asociadas a cada combinación de SbN en la matriz: Seg_ambiental (S), Seg_hidrica (T), Seg_alimentaria (U), Seg_economica (V), Seg_comunitaria (W), Seg_sanitaria (X) y Seg_politica (Y). Cada dimensión se registra en una lista cerrada (0/1/ND) y se complementa con Seg_justificacion (AA) para documentar el mecanismo causal</t>
    </r>
    <r>
      <rPr>
        <rFont val="Aptos Narrow"/>
        <b/>
        <color theme="1"/>
        <sz val="11.0"/>
      </rPr>
      <t xml:space="preserve">.
Reglas mínimas de codificación
</t>
    </r>
    <r>
      <rPr>
        <rFont val="Aptos Narrow"/>
        <color theme="1"/>
        <sz val="11.0"/>
      </rPr>
      <t>* Codificar 1 solo cuando exista evidencia rastreable y el mecanismo sea explícito (amenaza o condición → acción SbN → efecto → dimensión).
* Registrar ND cuando no hay evidencia suficiente en el texto para asignar 0 o 1.
* Registrar 0 cuando sí hay información para evaluar y se concluye que no hay contribución a esa dimensión (o no corresponde).
* Evitar inferencias fuertes: no marcar 1 por “sonar ambiental/social”; se requiere vínculo textual y mecanismo.
* Seg_justificacion (AA): 1–2 frases o 2–4 bullets con conectores causales (“reduce”, “mejora”, “previene”) + mecanismo concreto (p. ej., restauración, acuerdo, recarga, saneamiento, gobernanza del servicio), anclado en evidencia del texto.</t>
    </r>
  </si>
  <si>
    <t>Variable</t>
  </si>
  <si>
    <t>Qué cubre (ampliado)</t>
  </si>
  <si>
    <t>Marcar 1 solo si hay mecanismo explícito (acción → efecto)</t>
  </si>
  <si>
    <t>Evidencia típica en texto (ejemplos)</t>
  </si>
  <si>
    <t>S</t>
  </si>
  <si>
    <t>Contribución explícita a reducir degradación o presión sobre ecosistemas/recursos (suelo, bosque, biodiversidad), restaurar funciones ecosistémicas o mejorar gobernanza de uso sostenible cuando eso reduce vulnerabilidad (p. ej., erosión, incendios, contaminación, pérdida de cobertura).</t>
  </si>
  <si>
    <t>La SbN se vincula causalmente con restauración/conservación/manejo sostenible o control de degradación (p. ej., restauración → mejora función/servicio; control erosión → menor pérdida de suelo/productividad).</t>
  </si>
  <si>
    <t>“restauración”, “conservación”, “control de degradación/erosión”, “reducción de contaminación”, “manejo sostenible” + explicación causal.</t>
  </si>
  <si>
    <t>T</t>
  </si>
  <si>
    <t>Contribución explícita a disponibilidad, calidad, continuidad o acceso al agua, y/o reducción de riesgos hídricos (sequía/inundación) incluyendo gobernanza del servicio hídrico si el texto describe el mecanismo (reglas, comités, operación y mantenimiento).</t>
  </si>
  <si>
    <t>Mecanismo hídrico claro (recarga/cosecha/protección de nacientes/restauración ribereña; acuerdos/juntas que sostienen el servicio; mejoras en captación/distribución con reglas de uso).</t>
  </si>
  <si>
    <t>“recarga”, “cosecha de agua”, “protección de nacientes”, “restauración ribereña”, “juntas/comités de agua”, “acuerdos de distribución/uso”, “monitoreo de caudal/calidad” + efecto.</t>
  </si>
  <si>
    <t>U</t>
  </si>
  <si>
    <t>Contribución explícita a disponibilidad, acceso, estabilidad o diversidad de alimentos, cuando el texto vincula la SbN con producción/abastecimiento/nutrición o reducción de pérdidas que afectan alimentos.</t>
  </si>
  <si>
    <t>Vínculo causal explícito a alimentos: intervención → aumenta/estabiliza producción de alimentos, diversidad alimentaria o reduce pérdidas que afectan disponibilidad/estabilidad.</t>
  </si>
  <si>
    <t>“huertos”, “producción de alimentos”, “granos básicos”, “nutrición”, “abastecimiento”, “reducción de pérdidas de cosecha” + mecanismo.</t>
  </si>
  <si>
    <t>V</t>
  </si>
  <si>
    <t>Seg_economica</t>
  </si>
  <si>
    <t>Contribución explícita a proteger o recuperar ingresos/empleo/activos y reducir pérdidas económicas; incluye diversificación productiva con acceso a mercado si se describe el mecanismo.</t>
  </si>
  <si>
    <t>Mecanismo económico explícito: intervención → protege/crea ingresos/empleo/activos o reduce pérdidas (p. ej., diversificación con venta; reducción de pérdidas por sequía/inundación; mejora productividad con causalidad).</t>
  </si>
  <si>
    <t>“ingresos”, “empleo”, “productividad”, “mercado/cadena de valor”, “diversificación”, “reducción de pérdidas”, “valor agregado” + explicación causal.</t>
  </si>
  <si>
    <t>W</t>
  </si>
  <si>
    <t>Contribución explícita a cohesión social, convivencia y gestión colectiva, incluyendo prevención/manejo de tensiones por recursos (agua, tierra, bosque) mediante acuerdos, co-manejo, reglas compartidas o resolución de disputas.</t>
  </si>
  <si>
    <t>Evidencia de arreglo/mecanismo comunitario con finalidad de convivencia o manejo de tensiones: acuerdos, comités, co-manejo, reglas y procesos de resolución de conflictos.</t>
  </si>
  <si>
    <t>“acuerdos comunitarios”, “mesas/comités”, “co-manejo”, “mecanismos de resolución de conflictos”, “reglas compartidas”, “rendición de cuentas comunitaria” + finalidad explícita.</t>
  </si>
  <si>
    <t>X</t>
  </si>
  <si>
    <t>Seg_sanitaria</t>
  </si>
  <si>
    <t>Contribución explícita a salud (p. ej., agua potable/saneamiento, reducción de contaminación con efecto sanitario, reducción de riesgos sanitarios asociados a agua o degradación) cuando el texto lo establece.</t>
  </si>
  <si>
    <t>Intervención → mejora salud de forma directa o vía agua potable/saneamiento/contaminación con efecto sanitario; o reduce un riesgo sanitario identificado.</t>
  </si>
  <si>
    <t>“agua potable”, “saneamiento”, “reducción de contaminación”, “enfermedades hídricas”, “riesgo sanitario” + vínculo causal.</t>
  </si>
  <si>
    <t>Y</t>
  </si>
  <si>
    <t>Contribución explícita a derechos e inclusión: salvaguardas, no discriminación, participación sustantiva, consentimiento (cuando aplique), mecanismos de queja/monitoreo social, transparencia y rendición de cuentas.</t>
  </si>
  <si>
    <t>Evidencia directa de mecanismos vinculantes de derechos/inclusión/participación: salvaguardas, mecanismos de queja, reglas de participación, enfoque explícito de derechos con acciones concretas.</t>
  </si>
  <si>
    <t>“derechos”, “salvaguardas”, “no discriminación”, “consentimiento”, “mecanismos de queja”, “participación sustantiva”, “transparencia/rendición de cuentas” + mecanismo.</t>
  </si>
  <si>
    <t>Z</t>
  </si>
  <si>
    <t>Total de dimensiones con valor 1 (S–Y).</t>
  </si>
  <si>
    <t>Ideal automatizar (suma de celdas con 1).</t>
  </si>
  <si>
    <t>Conteo de “1” en S–Y.</t>
  </si>
  <si>
    <t>AA</t>
  </si>
  <si>
    <t>Justificación breve (1–2 frases o 2–4 bullets).</t>
  </si>
  <si>
    <t>Debe explicitar mecanismo causal (amenaza/condición → acción → efecto → dimensión).</t>
  </si>
  <si>
    <t>Conectores: “reduce”, “previene”, “mejora”, “fortalece” + mecanismo reportado.</t>
  </si>
  <si>
    <t>RASGOS TRANSFORMADORES  – valores permitidos</t>
  </si>
  <si>
    <t>Para este ejercicio, analizamos el carácter transformador de cada combinación de SbN con base en el marco propuesto por Fedele et al. (2019), quienes realizaron una revisión sistemática de la literatura social, ecológica y socio-ecológica sobre adaptación transformadora enfatizando que “lo transformador” no es una etiqueta única, sino un conjunto de rasgos observables en cómo una respuesta de adaptación cambia (o no) la trayectoria del sistema*.
En este marco, la adaptación transformadora se diferencia de la adaptación incremental porque no se limita a ajustes graduales para “aguantar” el impacto, sino que reorienta prácticas, arreglos y/o estados del sistema para enfrentar causas subyacentes de la vulnerabilidad y abrir trayectorias alternativas de sostenibilidad, resiliencia, equidad o reducción de riesgo. Fedele et al. sintetizan seis rasgos recurrentes que suelen aparecer combinados (con distinta intensidad) en respuestas transformadoras.
Este marco permite describir cómo y con qué profundidad una SbN puede considerarse transformadora: una combinación puede ser fuerte en cambio de trayectoria y persistencia, pero débil en multiescala o reestructuración, y aun así aportar aprendizajes valiosos. Por ello, el propósito de codificar estos rasgos no es “calificar” proyectos, sino hacer comparable qué tipo de transformación está (o no) sustentada por el texto y mediante qué mecanismos.</t>
  </si>
  <si>
    <r>
      <rPr>
        <rFont val="Aptos Narrow"/>
        <color theme="1"/>
        <sz val="11.0"/>
      </rPr>
      <t xml:space="preserve">Esta tipología se utiliza para codificar los rasgos transformadores asociados a cada combinación de SbN en la matriz: T1_path_shifting, T2_multiscale, T3_innovative, T4_persistent, T5_systemwide, T6_restructuring.
* Cada rasgo usa una escala 0/1/2 (lista cerrada).
* T_score registra la suma (0–12).
* Evidencia_rasgos documenta el sustento textual y el mecanismo (rasgo → cómo se expresa en la intervención).
* Formato sugerido para Evidencia_rasgos:  T1=2: [evidencia/mecanismo]. T2=1: [evidencia/mecanismo]. …
</t>
    </r>
    <r>
      <rPr>
        <rFont val="Aptos Narrow"/>
        <b/>
        <color theme="1"/>
        <sz val="11.0"/>
      </rPr>
      <t xml:space="preserve">Reglas mínimas de codificación
</t>
    </r>
    <r>
      <rPr>
        <rFont val="Aptos Narrow"/>
        <color theme="1"/>
        <sz val="11.0"/>
      </rPr>
      <t xml:space="preserve">* Codificar solo con evidencia rastreable (explícita o claramente inferible sin “salto” interpretativo).
* 0 = no hay evidencia del rasgo (o evidencia contraria).
* 1 = evidencia parcial/incidental (mención general, alcance limitado, mecanismo incompleto).
* 2 = evidencia clara y robusta (mecanismo explícito, alcance/implicaciones consistentes con el rasgo).
* Evitar “doble conteo” por el mismo argumento: si un elemento sustenta varios rasgos, explicitar por qué aplica a cada uno.
* T_score idealmente se calcula automático (suma de T1–T6)
</t>
    </r>
  </si>
  <si>
    <t>Rasgo</t>
  </si>
  <si>
    <t>Qué significa según Fedele et al.</t>
  </si>
  <si>
    <t>Cambia la trayectoria del SES (o del manejo) hacia un rumbo distinto al dominante, abordando causas de vulnerabilidad (no solo mejoras marginales). Señales típicas: transición de uso/manejo, sustitución de prácticas que perpetúan riesgo/degradación, o giro explícito hacia restauración/regeneración.</t>
  </si>
  <si>
    <t>No hay cambio de rumbo; continuidad del modelo.</t>
  </si>
  <si>
    <t>Cambios parciales/incrementales; transición incipiente sin evidencia de sustitución del rumbo dominante.</t>
  </si>
  <si>
    <t>Cambio explícito de rumbo (p. ej., de extracción/degradación → restauración/manejo regenerativo; de respuesta ad hoc → trayectoria planificada).</t>
  </si>
  <si>
    <t>Se diseña/implementa/gobierna entre escalas (territoriales e institucionales) con vínculos explícitos entre niveles (p. ej., comunidad–municipio–autoridad sectorial; microcuenca–paisaje). Señales: roles diferenciados por nivel, acuerdos/instrumentos de coordinación, o decisiones que cruzan fronteras administrativas.</t>
  </si>
  <si>
    <t>Solo una escala; actores aislados.</t>
  </si>
  <si>
    <t>Se mencionan actores de distintos niveles, pero sin mecanismo multinivel claro.</t>
  </si>
  <si>
    <t>Articulación multinivel explícita (roles por escala + coordinación/mandatos/instancias o acuerdos operativos).</t>
  </si>
  <si>
    <t>Incorpora novedad relevante para el contexto (tecnológica, organizativa, institucional o de conocimiento) o una recombinación que habilita nuevas formas de resolver el problema. Señales: herramientas/métodos nuevos para decisión y monitoreo, arreglos operativos no habituales, o innovación social que modifica prácticas.</t>
  </si>
  <si>
    <t>Prácticas estándar sin elemento novedoso.</t>
  </si>
  <si>
    <t>Innovación incremental o adaptación contextual de prácticas conocidas (mejora aplicada).</t>
  </si>
  <si>
    <t>Innovación clara (nueva herramienta/índice/protocolo/arreglo; recombinación que cambia capacidades de decisión/implementación).</t>
  </si>
  <si>
    <t>Genera cambios con condiciones de permanencia más allá del proyecto. Señales: capacidades instaladas, infraestructura, reglas y rutinas, financiamiento, O&amp;M, institucionalización de prácticas, o mecanismos que reducen reversión ante shocks o cambios políticos.</t>
  </si>
  <si>
    <t>Acciones puntuales sin continuidad.</t>
  </si>
  <si>
    <t>Intención de continuidad, pero mecanismos débiles/no detallados.</t>
  </si>
  <si>
    <t>Mecanismos explícitos de permanencia (estructura local, acuerdos/reglas, capacidades instaladas, O&amp;M, financiamiento o institucionalización).</t>
  </si>
  <si>
    <t>Actúa con lógica de sistema (SES): aborda interdependencias (agua–suelo–medios de vida–gobernanza), drivers y retroalimentaciones, y/o conecta múltiples componentes del paisaje/servicio. Señales: intervención que trasciende el “sitio” y muestra conectividad o efectos sobre el funcionamiento del sistema (no solo un componente aislado).</t>
  </si>
  <si>
    <t>Intervención focal/parcela sin lógica de sistema.</t>
  </si>
  <si>
    <t>Integra varios componentes (suelo–agua–producción), pero alcance todavía acotado o sin abordar drivers.</t>
  </si>
  <si>
    <t>Cambios a escala de paisaje/sistema y/o sobre drivers (p. ej., gobernanza del agua, reglas de uso, conectividad, cadenas), con lógica explícita de sistema.</t>
  </si>
  <si>
    <t>Implica cambios estructurales en arreglos de decisión y reglas-en-uso: redistribución de autoridad/roles, nuevos mandatos, incentivos, mecanismos vinculantes de rendición de cuentas o gobernanza. Señales: creación/fortalecimiento de arreglos con capacidad real de decisión, cambios normativos/procedimentales, o reconfiguración de quién decide y cómo.</t>
  </si>
  <si>
    <t>No hay cambios en reglas/mandatos/roles.</t>
  </si>
  <si>
    <t>Ajustes en reglas-en-uso o coordinación sin cambio estructural formal (mejora de procesos).</t>
  </si>
  <si>
    <t>Creación/reforma de arreglos con reglas/roles claros (mandato, rendición de cuentas, redistribución de autoridad/recursos, instrumentos vinculantes).</t>
  </si>
  <si>
    <t>Qué significa según Fedele et al. (versión ampliada y más operacional)</t>
  </si>
  <si>
    <r>
      <rPr>
        <rFont val="Aptos Narrow"/>
        <b/>
        <color theme="1"/>
        <sz val="11.0"/>
      </rPr>
      <t>Cambia la trayectoria</t>
    </r>
    <r>
      <rPr>
        <rFont val="Aptos Narrow"/>
        <b val="0"/>
        <color theme="1"/>
        <sz val="11.0"/>
      </rPr>
      <t xml:space="preserve"> del sistema (o del manejo) hacia un rumbo distinto al dominante, abordando causas de vulnerabilidad (no solo mejoras marginales). Señales típicas: </t>
    </r>
    <r>
      <rPr>
        <rFont val="Aptos Narrow"/>
        <b/>
        <color theme="1"/>
        <sz val="11.0"/>
      </rPr>
      <t>transición de uso/manejo</t>
    </r>
    <r>
      <rPr>
        <rFont val="Aptos Narrow"/>
        <b val="0"/>
        <color theme="1"/>
        <sz val="11.0"/>
      </rPr>
      <t>, sustitución de prácticas que perpetúan riesgo/degradación, o giro explícito hacia restauración/regeneración.</t>
    </r>
  </si>
  <si>
    <r>
      <rPr>
        <rFont val="Aptos Narrow"/>
        <color theme="1"/>
        <sz val="11.0"/>
      </rPr>
      <t xml:space="preserve">Se </t>
    </r>
    <r>
      <rPr>
        <rFont val="Aptos Narrow"/>
        <b/>
        <color theme="1"/>
        <sz val="11.0"/>
      </rPr>
      <t>diseña/implementa/gobierna entre escalas</t>
    </r>
    <r>
      <rPr>
        <rFont val="Aptos Narrow"/>
        <color theme="1"/>
        <sz val="11.0"/>
      </rPr>
      <t xml:space="preserve"> (territoriales e institucionales) con vínculos explícitos entre niveles (p. ej., comunidad–municipio–autoridad sectorial; microcuenca–paisaje). Señales: </t>
    </r>
    <r>
      <rPr>
        <rFont val="Aptos Narrow"/>
        <b/>
        <color theme="1"/>
        <sz val="11.0"/>
      </rPr>
      <t>roles diferenciados por nivel</t>
    </r>
    <r>
      <rPr>
        <rFont val="Aptos Narrow"/>
        <color theme="1"/>
        <sz val="11.0"/>
      </rPr>
      <t>, acuerdos/instrumentos de coordinación, o decisiones que cruzan fronteras administrativas.</t>
    </r>
  </si>
  <si>
    <r>
      <rPr>
        <rFont val="Aptos Narrow"/>
        <color theme="1"/>
        <sz val="11.0"/>
      </rPr>
      <t xml:space="preserve">Incorpora </t>
    </r>
    <r>
      <rPr>
        <rFont val="Aptos Narrow"/>
        <b/>
        <color theme="1"/>
        <sz val="11.0"/>
      </rPr>
      <t>novedad relevante para el contexto</t>
    </r>
    <r>
      <rPr>
        <rFont val="Aptos Narrow"/>
        <color theme="1"/>
        <sz val="11.0"/>
      </rPr>
      <t xml:space="preserve"> (tecnológica, organizativa, institucional o de conocimiento) o una </t>
    </r>
    <r>
      <rPr>
        <rFont val="Aptos Narrow"/>
        <b/>
        <color theme="1"/>
        <sz val="11.0"/>
      </rPr>
      <t>recombinación</t>
    </r>
    <r>
      <rPr>
        <rFont val="Aptos Narrow"/>
        <color theme="1"/>
        <sz val="11.0"/>
      </rPr>
      <t xml:space="preserve"> que habilita nuevas formas de resolver el problema. Señales: herramientas/métodos nuevos para decisión y monitoreo, arreglos operativos no habituales, o innovación social que modifica prácticas.</t>
    </r>
  </si>
  <si>
    <r>
      <rPr>
        <rFont val="Aptos Narrow"/>
        <color theme="1"/>
        <sz val="11.0"/>
      </rPr>
      <t xml:space="preserve">Genera cambios con </t>
    </r>
    <r>
      <rPr>
        <rFont val="Aptos Narrow"/>
        <b/>
        <color theme="1"/>
        <sz val="11.0"/>
      </rPr>
      <t>condiciones de permanencia</t>
    </r>
    <r>
      <rPr>
        <rFont val="Aptos Narrow"/>
        <color theme="1"/>
        <sz val="11.0"/>
      </rPr>
      <t xml:space="preserve"> más allá del proyecto. Señales: capacidades instaladas, infraestructura, reglas y rutinas, financiamiento, </t>
    </r>
    <r>
      <rPr>
        <rFont val="Aptos Narrow"/>
        <b/>
        <color theme="1"/>
        <sz val="11.0"/>
      </rPr>
      <t>O&amp;M</t>
    </r>
    <r>
      <rPr>
        <rFont val="Aptos Narrow"/>
        <color theme="1"/>
        <sz val="11.0"/>
      </rPr>
      <t>, institucionalización de prácticas, o mecanismos que reducen reversión ante shocks o cambios políticos.</t>
    </r>
  </si>
  <si>
    <r>
      <rPr>
        <rFont val="Aptos Narrow"/>
        <color theme="1"/>
        <sz val="11.0"/>
      </rPr>
      <t xml:space="preserve">Actúa con </t>
    </r>
    <r>
      <rPr>
        <rFont val="Aptos Narrow"/>
        <b/>
        <color theme="1"/>
        <sz val="11.0"/>
      </rPr>
      <t>lógica de sistema</t>
    </r>
    <r>
      <rPr>
        <rFont val="Aptos Narrow"/>
        <color theme="1"/>
        <sz val="11.0"/>
      </rPr>
      <t xml:space="preserve"> (SES): aborda interdependencias (agua–suelo–medios de vida–gobernanza), drivers y retroalimentaciones, y/o conecta múltiples componentes del paisaje/servicio. Señales: intervención que trasciende el “sitio” y muestra </t>
    </r>
    <r>
      <rPr>
        <rFont val="Aptos Narrow"/>
        <b/>
        <color theme="1"/>
        <sz val="11.0"/>
      </rPr>
      <t>conectividad</t>
    </r>
    <r>
      <rPr>
        <rFont val="Aptos Narrow"/>
        <color theme="1"/>
        <sz val="11.0"/>
      </rPr>
      <t xml:space="preserve"> o efectos sobre el funcionamiento del sistema (no solo un componente aislado).</t>
    </r>
  </si>
  <si>
    <r>
      <rPr>
        <rFont val="Aptos Narrow"/>
        <color theme="1"/>
        <sz val="11.0"/>
      </rPr>
      <t xml:space="preserve">Implica </t>
    </r>
    <r>
      <rPr>
        <rFont val="Aptos Narrow"/>
        <b/>
        <color theme="1"/>
        <sz val="11.0"/>
      </rPr>
      <t>cambios estructurales</t>
    </r>
    <r>
      <rPr>
        <rFont val="Aptos Narrow"/>
        <color theme="1"/>
        <sz val="11.0"/>
      </rPr>
      <t xml:space="preserve"> en arreglos de decisión y reglas-en-uso: redistribución de autoridad/roles, nuevos mandatos, incentivos, mecanismos vinculantes de rendición de cuentas o gobernanza. Señales: creación/fortalecimiento de arreglos con capacidad real de decisión, cambios normativos/procedimentales, o reconfiguración de quién decide y cómo.</t>
    </r>
  </si>
  <si>
    <t>Brechas de Gobernanza  – valores permitidos</t>
  </si>
  <si>
    <r>
      <rPr>
        <rFont val="Aptos Narrow"/>
        <color theme="1"/>
        <sz val="11.0"/>
      </rPr>
      <t xml:space="preserve">Esta tipología se utiliza para codificar las brechas de gobernanza asociadas a cada combinación de NbS en la matriz: Brecha_NbS_1 (AJ), Brecha_NbS_2 (AK) y Brecha_NbS_3 (AL) registran hasta tres brechas (en orden de relevancia), y Evidencia_brechas (AM) documenta el sustento textual y el mecanismo por el cual dichas brechas limitan el diseño, implementación, escalamiento o sostenibilidad de la NbS.
</t>
    </r>
    <r>
      <rPr>
        <rFont val="Aptos Narrow"/>
        <b/>
        <color theme="1"/>
        <sz val="11.0"/>
      </rPr>
      <t xml:space="preserve">Reglas mínimas de codificación </t>
    </r>
    <r>
      <rPr>
        <rFont val="Aptos Narrow"/>
        <color theme="1"/>
        <sz val="11.0"/>
      </rPr>
      <t>(para uso consistente)
* Codificar solo cuando haya evidencia rastreable en el texto (explícita o claramente inferible sin “salto” interpretativo). Si no hay evidencia suficiente: ND.
* Priorizar: 1 = brecha más determinante; 2 = secundaria; 3 = complementaria.
* No repetir el mismo código en 1, 2 y 3.
* Evidencia_brechas debe describir el mecanismo (brecha → efecto) y anclarlo a lo reportado (p. ej., ausencia de instrumento, roles difusos, falta de capacidades, conflictos de uso, etc.).
* Formato sugerido para Evidencia_brechas:
B2.2: [evidencia/mecanismo]. B4.1: [evidencia/mecanismo]. …
Para cada paisaje/caso, los “retos” deben codificarse solo cuando exista evidencia rastreable en el material (no por intuición). El resultado esperado es identificar qué retos son recurrentes y cuáles son específicos según: (i) NbS a escala de sitio vs a escala de paisaje, (ii) tipo de riesgo (sequía, inundación, incendios, etc.), y (iii) necesidad de gobernanza (acuerdos, reglas, financiamiento, monitoreo).</t>
    </r>
  </si>
  <si>
    <t xml:space="preserve">Retos de escala: barreras de desajuste (mismatch) espacial y temporal </t>
  </si>
  <si>
    <t>Este grupo captura por qué las NbS “no calzan” fácilmente en arquitecturas institucionales diseñadas para fronteras administrativas y horizontes cortos.</t>
  </si>
  <si>
    <t>1.1 Rigidez institucional vs escala ecológica</t>
  </si>
  <si>
    <t>Las reglas constitucionales (leyes/jurisdicciones) y las reglas de elección colectiva (planes/instrumentos) se definen por fronteras político-administrativas, no por cuencas, corredores o paisajes. El desajuste espacial fragmenta responsabilidades y dificulta implementar NbS con lógica de conectividad y procesos ecosistémicos.</t>
  </si>
  <si>
    <t>1.2 Corto plazo político vs largo plazo ecológico</t>
  </si>
  <si>
    <t>Los ciclos políticos y de financiamiento suelen ser de corto plazo, mientras los beneficios de una NbS requieren continuidad para madurar. Esto dificulta sostener políticas de Estado y mecanismos financieros estables, aumentando la reversión de decisiones e instrumentos con cambios de gobierno.</t>
  </si>
  <si>
    <t>1.3 Fallos en el escalamiento (de piloto a sistema)</t>
  </si>
  <si>
    <t>Dificultad para trasladar reglas operacionales exitosas (a nivel local/piloto) hacia reglas de elección colectiva y constitucionales (municipal/regional/nacional) que habiliten réplica, coordinación y financiamiento a escala de paisaje.</t>
  </si>
  <si>
    <t>1.4 Fragmentación de propiedad y derechos de uso</t>
  </si>
  <si>
    <t>Implementar NbS a escala de paisaje se complica por múltiples propietarios/as con intereses distintos y por ambigüedad o superposición de derechos de uso. Exige reglas operacionales de coordinación, acuerdos de acceso/uso y mecanismos de resolución de disputas.</t>
  </si>
  <si>
    <t>Retos de coordinación: fragmentación institucional, multisectorialidad y multiobjetivo</t>
  </si>
  <si>
    <t>Este grupo captura la fricción central de la NbS: su multifuncionalidad obliga a gestionar trade-offs entre sectores y objetivos.</t>
  </si>
  <si>
    <t>2.1 Silos sectoriales</t>
  </si>
  <si>
    <t>La toma de decisiones opera en sectores aislados (agricultura, ambiente, finanzas, agua). La NbS, al ser multiobjetivo, se ve penalizada por mandatos y presupuestos sectoriales que no conversan.</t>
  </si>
  <si>
    <t>2.2 Falta de instrumentos de coordinación</t>
  </si>
  <si>
    <t>No existen o son débiles instrumentos de elección colectiva que obliguen a coordinar, transparentar trade-offs y cofinanciar (p. ej., plataformas con mandato, acuerdos vinculantes, reglas claras de roles y costos).</t>
  </si>
  <si>
    <t>2.3 Valoración incompleta de co-beneficios y trade-offs</t>
  </si>
  <si>
    <t>Los sistemas de decisión tienden a valorar resultados sectoriales (p. ej., productividad) y subestiman beneficios ecosistémicos y sociales (agua, reducción de riesgo, biodiversidad, cohesión). Esto reduce la justificación de inversión y perpetúa objetivos separados.</t>
  </si>
  <si>
    <t>2.4 Conflicto y fragmentación de conocimiento (transdisciplinariedad no institucionalizada)</t>
  </si>
  <si>
    <t>La coordinación requiere integrar saberes científicos, técnicos y locales/indígenas. El reto no es solo “falta de información”, sino la ausencia de reglas e instancias que institucionalicen cómo se combinan evidencias, se prioriza y se toma decisión legítima.</t>
  </si>
  <si>
    <t>Retos de legitimidad: inclusión, justicia y licencia social</t>
  </si>
  <si>
    <t>Este grupo captura por qué una NbS puede fallar aun siendo “técnicamente correcta”: si no es legítima, no se sostiene ni escala.</t>
  </si>
  <si>
    <t>3.1 Ausencia de justicia distributiva</t>
  </si>
  <si>
    <t>Si no se abordan relaciones de poder, puede haber captura de beneficios, externalización de costos o afectaciones a medios de vida, debilitando la legitimidad del cambio y generando conflicto.</t>
  </si>
  <si>
    <t>3.2 Falta de participación genuina (de consulta a co-creación)</t>
  </si>
  <si>
    <t>Procesos consultivos tienden a producir soluciones poco contextualizadas y con bajo respaldo social. En NbS, participación sustantiva es condición de desempeño (mantenimiento, cumplimiento, monitoreo y sostenibilidad).</t>
  </si>
  <si>
    <t>3.3 Rigidez de paradigmas y resistencia cultural</t>
  </si>
  <si>
    <t>Transformar con NbS implica cambiar creencias sobre el valor de la naturaleza (infraestructura viva, no solo recurso). La resistencia cultural e ideológica de actores clave frena adopción y reorientación de prácticas.</t>
  </si>
  <si>
    <t>Retos de soporte: condiciones habilitadoras (capacidad, financiamiento, aprendizaje)</t>
  </si>
  <si>
    <t>Este grupo captura los cimientos para sostener la NbS como intervención de paisaje y no como proyecto aislado.</t>
  </si>
  <si>
    <t>Déficits técnicos, humanos y operativos (especialmente a escala local) limitan planificación, implementación, monitoreo y traducción de resultados hacia niveles de decisión superiores.</t>
  </si>
  <si>
    <t>4.2 Riesgos y financiamiento</t>
  </si>
  <si>
    <t>Percepción de riesgo, ausencia de instrumentos financieros estandarizados y dificultad para combinar fuentes públicas/privadas limitan inversión y continuidad.</t>
  </si>
  <si>
    <t>4.3 Conocimiento, incertidumbre y monitoreo adaptativo</t>
  </si>
  <si>
    <t>Las NbS operan en SES dinámicos y con resultados inciertos a largo plazo. El reto es instalar reglas operacionales para monitoreo, evaluación y ajuste (gestión adaptativa), incorporando evidencia científica y conocimiento local cuando corresponda.</t>
  </si>
  <si>
    <t>4.4 Sostenibilidad financiera y de mercado</t>
  </si>
  <si>
    <t>El desafío es sostener costos de operación/mantenimiento y continuidad: puede requerir integración a mercados, pero también instrumentos públicos (tarifas, transferencias, fondos, incentivos) que reconozcan co-beneficios.</t>
  </si>
  <si>
    <t>4.5 Aprendizaje y adaptación sistémica (fallas de retroalimentación adaptativa)</t>
  </si>
  <si>
    <t>Falta institucionalizar mecanismos para aprender y ajustar reglas-en-uso (operacionales y de elección colectiva) frente a resultados, shocks o cambios en el sistema.</t>
  </si>
  <si>
    <t>4.6 Falta de liderazgo estratégico y capacidad de innovación</t>
  </si>
  <si>
    <t>Transformar con NbS requiere liderazgo para asumir riesgos, romper silos, habilitar instrumentos de coordinación y sostener la adaptación basada en aprendizaje (4.5).</t>
  </si>
</sst>
</file>

<file path=xl/styles.xml><?xml version="1.0" encoding="utf-8"?>
<styleSheet xmlns="http://schemas.openxmlformats.org/spreadsheetml/2006/main" xmlns:x14ac="http://schemas.microsoft.com/office/spreadsheetml/2009/9/ac" xmlns:mc="http://schemas.openxmlformats.org/markup-compatibility/2006">
  <fonts count="16">
    <font>
      <sz val="11.0"/>
      <color theme="1"/>
      <name val="Aptos Narrow"/>
      <scheme val="minor"/>
    </font>
    <font>
      <b/>
      <sz val="11.0"/>
      <color theme="1"/>
      <name val="Aptos Narrow"/>
    </font>
    <font>
      <b/>
      <sz val="11.0"/>
      <color theme="0"/>
      <name val="Aptos Narrow"/>
    </font>
    <font>
      <sz val="11.0"/>
      <color theme="0"/>
      <name val="Aptos Narrow"/>
    </font>
    <font>
      <sz val="11.0"/>
      <color theme="1"/>
      <name val="Arial"/>
    </font>
    <font>
      <sz val="11.0"/>
      <color theme="1"/>
      <name val="Aptos Narrow"/>
    </font>
    <font>
      <sz val="11.0"/>
      <color rgb="FF000000"/>
      <name val="&quot;Aptos Narrow&quot;"/>
    </font>
    <font>
      <sz val="11.0"/>
      <color rgb="FFFF0000"/>
      <name val="Aptos Narrow"/>
    </font>
    <font>
      <sz val="11.0"/>
      <color rgb="FFFF0000"/>
      <name val="Arial"/>
    </font>
    <font>
      <sz val="11.0"/>
      <color rgb="FF000000"/>
      <name val="Arial"/>
    </font>
    <font>
      <b/>
      <sz val="18.0"/>
      <color theme="1"/>
      <name val="Aptos Narrow"/>
    </font>
    <font>
      <b/>
      <sz val="14.0"/>
      <color theme="1"/>
      <name val="Aptos Narrow"/>
    </font>
    <font>
      <b/>
      <sz val="11.0"/>
      <color rgb="FFFF0000"/>
      <name val="Aptos Narrow"/>
    </font>
    <font>
      <b/>
      <sz val="24.0"/>
      <color theme="1"/>
      <name val="Aptos Narrow"/>
    </font>
    <font>
      <b/>
      <sz val="13.0"/>
      <color theme="1"/>
      <name val="Aptos Narrow"/>
    </font>
    <font/>
  </fonts>
  <fills count="12">
    <fill>
      <patternFill patternType="none"/>
    </fill>
    <fill>
      <patternFill patternType="lightGray"/>
    </fill>
    <fill>
      <patternFill patternType="solid">
        <fgColor rgb="FF7F7F7F"/>
        <bgColor rgb="FF7F7F7F"/>
      </patternFill>
    </fill>
    <fill>
      <patternFill patternType="solid">
        <fgColor rgb="FFA5A5A5"/>
        <bgColor rgb="FFA5A5A5"/>
      </patternFill>
    </fill>
    <fill>
      <patternFill patternType="solid">
        <fgColor theme="6"/>
        <bgColor theme="6"/>
      </patternFill>
    </fill>
    <fill>
      <patternFill patternType="solid">
        <fgColor theme="5"/>
        <bgColor theme="5"/>
      </patternFill>
    </fill>
    <fill>
      <patternFill patternType="solid">
        <fgColor theme="8"/>
        <bgColor theme="8"/>
      </patternFill>
    </fill>
    <fill>
      <patternFill patternType="solid">
        <fgColor theme="4"/>
        <bgColor theme="4"/>
      </patternFill>
    </fill>
    <fill>
      <patternFill patternType="solid">
        <fgColor rgb="FF00FF00"/>
        <bgColor rgb="FF00FF00"/>
      </patternFill>
    </fill>
    <fill>
      <patternFill patternType="solid">
        <fgColor rgb="FFFFFF00"/>
        <bgColor rgb="FFFFFF00"/>
      </patternFill>
    </fill>
    <fill>
      <patternFill patternType="solid">
        <fgColor theme="9"/>
        <bgColor theme="9"/>
      </patternFill>
    </fill>
    <fill>
      <patternFill patternType="solid">
        <fgColor rgb="FF0E2841"/>
        <bgColor rgb="FF0E2841"/>
      </patternFill>
    </fill>
  </fills>
  <borders count="8">
    <border/>
    <border>
      <left/>
      <right/>
      <top/>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left/>
      <right/>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56">
    <xf borderId="0" fillId="0" fontId="0" numFmtId="0" xfId="0" applyAlignment="1" applyFont="1">
      <alignment readingOrder="0" shrinkToFit="0" vertical="bottom" wrapText="0"/>
    </xf>
    <xf borderId="1" fillId="2" fontId="1" numFmtId="0" xfId="0" applyBorder="1" applyFill="1" applyFont="1"/>
    <xf borderId="2" fillId="2" fontId="1" numFmtId="0" xfId="0" applyAlignment="1" applyBorder="1" applyFont="1">
      <alignment horizontal="center" shrinkToFit="0" vertical="center" wrapText="1"/>
    </xf>
    <xf borderId="2" fillId="3" fontId="1" numFmtId="0" xfId="0" applyAlignment="1" applyBorder="1" applyFill="1" applyFont="1">
      <alignment horizontal="center" shrinkToFit="0" vertical="center" wrapText="1"/>
    </xf>
    <xf borderId="1" fillId="3" fontId="1" numFmtId="0" xfId="0" applyAlignment="1" applyBorder="1" applyFont="1">
      <alignment vertical="center"/>
    </xf>
    <xf borderId="2" fillId="4" fontId="2" numFmtId="0" xfId="0" applyAlignment="1" applyBorder="1" applyFill="1" applyFont="1">
      <alignment horizontal="center" shrinkToFit="0" vertical="center" wrapText="1"/>
    </xf>
    <xf borderId="1" fillId="5" fontId="2" numFmtId="0" xfId="0" applyAlignment="1" applyBorder="1" applyFill="1" applyFont="1">
      <alignment horizontal="right" shrinkToFit="0" vertical="center" wrapText="1"/>
    </xf>
    <xf borderId="1" fillId="5" fontId="2" numFmtId="0" xfId="0" applyAlignment="1" applyBorder="1" applyFont="1">
      <alignment horizontal="center" shrinkToFit="0" vertical="center" wrapText="1"/>
    </xf>
    <xf borderId="3" fillId="6" fontId="2" numFmtId="0" xfId="0" applyAlignment="1" applyBorder="1" applyFill="1" applyFont="1">
      <alignment horizontal="center" shrinkToFit="0" vertical="center" wrapText="1"/>
    </xf>
    <xf borderId="1" fillId="6" fontId="3" numFmtId="0" xfId="0" applyAlignment="1" applyBorder="1" applyFont="1">
      <alignment shrinkToFit="0" wrapText="1"/>
    </xf>
    <xf borderId="1" fillId="7" fontId="3" numFmtId="0" xfId="0" applyAlignment="1" applyBorder="1" applyFill="1" applyFont="1">
      <alignment horizontal="center" shrinkToFit="0" vertical="center" wrapText="1"/>
    </xf>
    <xf borderId="0" fillId="0" fontId="4" numFmtId="0" xfId="0" applyAlignment="1" applyFont="1">
      <alignment readingOrder="0" shrinkToFit="0" vertical="center" wrapText="1"/>
    </xf>
    <xf borderId="0" fillId="0" fontId="5" numFmtId="0" xfId="0" applyAlignment="1" applyFont="1">
      <alignment shrinkToFit="0" vertical="center" wrapText="1"/>
    </xf>
    <xf borderId="0" fillId="0" fontId="5" numFmtId="0" xfId="0" applyAlignment="1" applyFont="1">
      <alignment horizontal="right" shrinkToFit="0" vertical="center" wrapText="1"/>
    </xf>
    <xf borderId="2" fillId="0" fontId="5" numFmtId="0" xfId="0" applyAlignment="1" applyBorder="1" applyFont="1">
      <alignment shrinkToFit="0" wrapText="1"/>
    </xf>
    <xf borderId="2" fillId="8" fontId="5" numFmtId="0" xfId="0" applyAlignment="1" applyBorder="1" applyFill="1" applyFont="1">
      <alignment shrinkToFit="0" vertical="center" wrapText="1"/>
    </xf>
    <xf borderId="2" fillId="0" fontId="5" numFmtId="0" xfId="0" applyAlignment="1" applyBorder="1" applyFont="1">
      <alignment shrinkToFit="0" vertical="center" wrapText="1"/>
    </xf>
    <xf borderId="2" fillId="9" fontId="4" numFmtId="0" xfId="0" applyAlignment="1" applyBorder="1" applyFill="1" applyFont="1">
      <alignment readingOrder="0" shrinkToFit="0" vertical="center" wrapText="1"/>
    </xf>
    <xf borderId="2" fillId="0" fontId="6" numFmtId="0" xfId="0" applyAlignment="1" applyBorder="1" applyFont="1">
      <alignment horizontal="right" readingOrder="0" vertical="bottom"/>
    </xf>
    <xf borderId="2" fillId="10" fontId="5" numFmtId="0" xfId="0" applyAlignment="1" applyBorder="1" applyFill="1" applyFont="1">
      <alignment horizontal="right" shrinkToFit="0" vertical="center" wrapText="1"/>
    </xf>
    <xf borderId="2" fillId="0" fontId="7" numFmtId="0" xfId="0" applyAlignment="1" applyBorder="1" applyFont="1">
      <alignment horizontal="center" shrinkToFit="0" vertical="center" wrapText="1"/>
    </xf>
    <xf borderId="2" fillId="0" fontId="7" numFmtId="0" xfId="0" applyAlignment="1" applyBorder="1" applyFont="1">
      <alignment shrinkToFit="0" vertical="center" wrapText="1"/>
    </xf>
    <xf borderId="2" fillId="0" fontId="5" numFmtId="0" xfId="0" applyAlignment="1" applyBorder="1" applyFont="1">
      <alignment horizontal="right" shrinkToFit="0" vertical="center" wrapText="1"/>
    </xf>
    <xf borderId="1" fillId="10" fontId="5" numFmtId="0" xfId="0" applyAlignment="1" applyBorder="1" applyFont="1">
      <alignment horizontal="right" shrinkToFit="0" vertical="center" wrapText="1"/>
    </xf>
    <xf borderId="4" fillId="10" fontId="5" numFmtId="0" xfId="0" applyAlignment="1" applyBorder="1" applyFont="1">
      <alignment horizontal="right" shrinkToFit="0" vertical="center" wrapText="1"/>
    </xf>
    <xf borderId="2" fillId="10" fontId="5" numFmtId="0" xfId="0" applyAlignment="1" applyBorder="1" applyFont="1">
      <alignment shrinkToFit="0" vertical="center" wrapText="1"/>
    </xf>
    <xf borderId="0" fillId="0" fontId="8" numFmtId="0" xfId="0" applyAlignment="1" applyFont="1">
      <alignment horizontal="center" readingOrder="0" shrinkToFit="0" vertical="center" wrapText="1"/>
    </xf>
    <xf borderId="0" fillId="0" fontId="5" numFmtId="0" xfId="0" applyAlignment="1" applyFont="1">
      <alignment horizontal="center" shrinkToFit="0" vertical="center" wrapText="1"/>
    </xf>
    <xf borderId="0" fillId="0" fontId="8" numFmtId="0" xfId="0" applyAlignment="1" applyFont="1">
      <alignment readingOrder="0" shrinkToFit="0" vertical="center" wrapText="1"/>
    </xf>
    <xf borderId="0" fillId="0" fontId="4" numFmtId="0" xfId="0" applyAlignment="1" applyFont="1">
      <alignment horizontal="center" readingOrder="0" shrinkToFit="0" vertical="center" wrapText="1"/>
    </xf>
    <xf borderId="0" fillId="0" fontId="5" numFmtId="0" xfId="0" applyAlignment="1" applyFont="1">
      <alignment readingOrder="0" shrinkToFit="0" vertical="center" wrapText="1"/>
    </xf>
    <xf borderId="0" fillId="0" fontId="9" numFmtId="0" xfId="0" applyAlignment="1" applyFont="1">
      <alignment horizontal="center" readingOrder="0" shrinkToFit="0" vertical="center" wrapText="1"/>
    </xf>
    <xf borderId="0" fillId="0" fontId="7" numFmtId="0" xfId="0" applyFont="1"/>
    <xf borderId="0" fillId="0" fontId="10" numFmtId="0" xfId="0" applyFont="1"/>
    <xf borderId="0" fillId="0" fontId="11" numFmtId="0" xfId="0" applyAlignment="1" applyFont="1">
      <alignment vertical="center"/>
    </xf>
    <xf borderId="0" fillId="0" fontId="1" numFmtId="0" xfId="0" applyFont="1"/>
    <xf borderId="2" fillId="11" fontId="2" numFmtId="0" xfId="0" applyAlignment="1" applyBorder="1" applyFill="1" applyFont="1">
      <alignment shrinkToFit="0" wrapText="1"/>
    </xf>
    <xf borderId="2" fillId="11" fontId="12" numFmtId="0" xfId="0" applyAlignment="1" applyBorder="1" applyFont="1">
      <alignment shrinkToFit="0" wrapText="1"/>
    </xf>
    <xf borderId="2" fillId="0" fontId="7" numFmtId="0" xfId="0" applyAlignment="1" applyBorder="1" applyFont="1">
      <alignment shrinkToFit="0" wrapText="1"/>
    </xf>
    <xf borderId="0" fillId="0" fontId="13" numFmtId="0" xfId="0" applyAlignment="1" applyFont="1">
      <alignment vertical="center"/>
    </xf>
    <xf borderId="0" fillId="0" fontId="14" numFmtId="0" xfId="0" applyAlignment="1" applyFont="1">
      <alignment vertical="center"/>
    </xf>
    <xf borderId="0" fillId="0" fontId="5" numFmtId="0" xfId="0" applyAlignment="1" applyFont="1">
      <alignment horizontal="left" shrinkToFit="0" vertical="center" wrapText="1"/>
    </xf>
    <xf borderId="0" fillId="0" fontId="1" numFmtId="0" xfId="0" applyAlignment="1" applyFont="1">
      <alignment horizontal="center" shrinkToFit="0" vertical="center" wrapText="1"/>
    </xf>
    <xf borderId="0" fillId="0" fontId="12" numFmtId="0" xfId="0" applyAlignment="1" applyFont="1">
      <alignment horizontal="center" shrinkToFit="0" vertical="center" wrapText="1"/>
    </xf>
    <xf borderId="0" fillId="0" fontId="1" numFmtId="0" xfId="0" applyAlignment="1" applyFont="1">
      <alignment shrinkToFit="0" vertical="center" wrapText="1"/>
    </xf>
    <xf borderId="0" fillId="0" fontId="7" numFmtId="0" xfId="0" applyAlignment="1" applyFont="1">
      <alignment shrinkToFit="0" vertical="center" wrapText="1"/>
    </xf>
    <xf borderId="0" fillId="0" fontId="5" numFmtId="0" xfId="0" applyAlignment="1" applyFont="1">
      <alignment horizontal="left" vertical="center"/>
    </xf>
    <xf borderId="2" fillId="0" fontId="1" numFmtId="0" xfId="0" applyAlignment="1" applyBorder="1" applyFont="1">
      <alignment horizontal="center" shrinkToFit="0" vertical="center" wrapText="1"/>
    </xf>
    <xf borderId="0" fillId="0" fontId="5" numFmtId="0" xfId="0" applyAlignment="1" applyFont="1">
      <alignment vertical="center"/>
    </xf>
    <xf borderId="2" fillId="0" fontId="5" numFmtId="0" xfId="0" applyAlignment="1" applyBorder="1" applyFont="1">
      <alignment horizontal="left" shrinkToFit="0" wrapText="1"/>
    </xf>
    <xf borderId="5" fillId="0" fontId="5" numFmtId="0" xfId="0" applyAlignment="1" applyBorder="1" applyFont="1">
      <alignment horizontal="left" shrinkToFit="0" wrapText="1"/>
    </xf>
    <xf borderId="6" fillId="0" fontId="15" numFmtId="0" xfId="0" applyBorder="1" applyFont="1"/>
    <xf borderId="7" fillId="0" fontId="15" numFmtId="0" xfId="0" applyBorder="1" applyFont="1"/>
    <xf borderId="5" fillId="0" fontId="5" numFmtId="0" xfId="0" applyAlignment="1" applyBorder="1" applyFont="1">
      <alignment horizontal="left" shrinkToFit="0" vertical="center" wrapText="1"/>
    </xf>
    <xf borderId="0" fillId="0" fontId="5" numFmtId="0" xfId="0" applyAlignment="1" applyFont="1">
      <alignment horizontal="left" shrinkToFit="0" wrapText="1"/>
    </xf>
    <xf borderId="2" fillId="0" fontId="5" numFmtId="0" xfId="0" applyAlignment="1" applyBorder="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1"/>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8.88"/>
    <col customWidth="1" min="2" max="3" width="12.88"/>
    <col customWidth="1" min="4" max="4" width="15.25"/>
    <col customWidth="1" min="5" max="5" width="26.13"/>
    <col customWidth="1" min="6" max="6" width="48.0"/>
    <col customWidth="1" min="7" max="7" width="15.88"/>
    <col customWidth="1" min="8" max="8" width="21.88"/>
    <col customWidth="1" min="9" max="9" width="27.5"/>
    <col customWidth="1" min="10" max="11" width="20.5"/>
    <col customWidth="1" min="12" max="21" width="25.13"/>
    <col customWidth="1" min="22" max="27" width="23.5"/>
    <col customWidth="1" min="28" max="34" width="15.5"/>
    <col customWidth="1" min="35" max="35" width="30.38"/>
    <col customWidth="1" min="36" max="36" width="17.38"/>
    <col customWidth="1" min="37" max="37" width="13.38"/>
    <col customWidth="1" min="38" max="38" width="14.13"/>
    <col customWidth="1" min="39" max="39" width="32.13"/>
    <col customWidth="1" min="40" max="40" width="11.5"/>
  </cols>
  <sheetData>
    <row r="1" ht="33.0" customHeight="1">
      <c r="A1" s="1" t="s">
        <v>0</v>
      </c>
      <c r="B1" s="2" t="s">
        <v>1</v>
      </c>
      <c r="C1" s="2" t="s">
        <v>2</v>
      </c>
      <c r="D1" s="2" t="s">
        <v>3</v>
      </c>
      <c r="E1" s="2" t="s">
        <v>4</v>
      </c>
      <c r="F1" s="2" t="s">
        <v>5</v>
      </c>
      <c r="G1" s="3" t="s">
        <v>6</v>
      </c>
      <c r="H1" s="3" t="s">
        <v>7</v>
      </c>
      <c r="I1" s="3" t="s">
        <v>8</v>
      </c>
      <c r="J1" s="3" t="s">
        <v>9</v>
      </c>
      <c r="K1" s="4" t="s">
        <v>10</v>
      </c>
      <c r="L1" s="3" t="s">
        <v>11</v>
      </c>
      <c r="M1" s="5" t="s">
        <v>12</v>
      </c>
      <c r="N1" s="5" t="s">
        <v>13</v>
      </c>
      <c r="O1" s="5" t="s">
        <v>14</v>
      </c>
      <c r="P1" s="5" t="s">
        <v>15</v>
      </c>
      <c r="Q1" s="5" t="s">
        <v>16</v>
      </c>
      <c r="R1" s="5" t="s">
        <v>17</v>
      </c>
      <c r="S1" s="6" t="s">
        <v>18</v>
      </c>
      <c r="T1" s="6" t="s">
        <v>19</v>
      </c>
      <c r="U1" s="6" t="s">
        <v>20</v>
      </c>
      <c r="V1" s="6" t="s">
        <v>21</v>
      </c>
      <c r="W1" s="6" t="s">
        <v>22</v>
      </c>
      <c r="X1" s="6" t="s">
        <v>23</v>
      </c>
      <c r="Y1" s="6" t="s">
        <v>24</v>
      </c>
      <c r="Z1" s="6" t="s">
        <v>25</v>
      </c>
      <c r="AA1" s="7" t="s">
        <v>26</v>
      </c>
      <c r="AB1" s="8" t="s">
        <v>27</v>
      </c>
      <c r="AC1" s="8" t="s">
        <v>28</v>
      </c>
      <c r="AD1" s="8" t="s">
        <v>29</v>
      </c>
      <c r="AE1" s="8" t="s">
        <v>30</v>
      </c>
      <c r="AF1" s="8" t="s">
        <v>31</v>
      </c>
      <c r="AG1" s="8" t="s">
        <v>32</v>
      </c>
      <c r="AH1" s="8" t="s">
        <v>33</v>
      </c>
      <c r="AI1" s="9" t="s">
        <v>34</v>
      </c>
      <c r="AJ1" s="10" t="s">
        <v>35</v>
      </c>
      <c r="AK1" s="10" t="s">
        <v>36</v>
      </c>
      <c r="AL1" s="10" t="s">
        <v>37</v>
      </c>
      <c r="AM1" s="10" t="s">
        <v>38</v>
      </c>
    </row>
    <row r="2" ht="14.25" customHeight="1">
      <c r="A2" s="11">
        <v>1.0</v>
      </c>
      <c r="B2" s="12" t="s">
        <v>39</v>
      </c>
      <c r="C2" s="12" t="s">
        <v>40</v>
      </c>
      <c r="D2" s="12" t="s">
        <v>41</v>
      </c>
      <c r="E2" s="12" t="s">
        <v>42</v>
      </c>
      <c r="F2" s="12" t="s">
        <v>43</v>
      </c>
      <c r="G2" s="13" t="s">
        <v>44</v>
      </c>
      <c r="H2" s="12" t="s">
        <v>45</v>
      </c>
      <c r="I2" s="12" t="s">
        <v>46</v>
      </c>
      <c r="J2" s="13" t="s">
        <v>44</v>
      </c>
      <c r="K2" s="12" t="s">
        <v>47</v>
      </c>
      <c r="L2" s="12" t="s">
        <v>48</v>
      </c>
      <c r="M2" s="12" t="s">
        <v>49</v>
      </c>
      <c r="N2" s="12" t="s">
        <v>50</v>
      </c>
      <c r="O2" s="12" t="s">
        <v>51</v>
      </c>
      <c r="P2" s="12" t="s">
        <v>52</v>
      </c>
      <c r="Q2" s="12" t="s">
        <v>53</v>
      </c>
      <c r="R2" s="12" t="s">
        <v>44</v>
      </c>
      <c r="S2" s="13">
        <v>1.0</v>
      </c>
      <c r="T2" s="13">
        <v>1.0</v>
      </c>
      <c r="U2" s="13">
        <v>0.0</v>
      </c>
      <c r="V2" s="13">
        <v>1.0</v>
      </c>
      <c r="W2" s="13">
        <v>1.0</v>
      </c>
      <c r="X2" s="13">
        <v>0.0</v>
      </c>
      <c r="Y2" s="13">
        <v>0.0</v>
      </c>
      <c r="Z2" s="13">
        <f t="shared" ref="Z2:Z5" si="1">SUM(S2:Y2)</f>
        <v>4</v>
      </c>
      <c r="AA2" s="12" t="s">
        <v>54</v>
      </c>
      <c r="AB2" s="14">
        <v>2.0</v>
      </c>
      <c r="AC2" s="14">
        <v>1.0</v>
      </c>
      <c r="AD2" s="14">
        <v>1.0</v>
      </c>
      <c r="AE2" s="14">
        <v>1.0</v>
      </c>
      <c r="AF2" s="14">
        <v>1.0</v>
      </c>
      <c r="AG2" s="14">
        <v>0.0</v>
      </c>
      <c r="AH2" s="14">
        <v>6.0</v>
      </c>
      <c r="AI2" s="14" t="s">
        <v>55</v>
      </c>
      <c r="AJ2" s="14" t="s">
        <v>56</v>
      </c>
      <c r="AK2" s="14" t="s">
        <v>57</v>
      </c>
      <c r="AL2" s="14" t="s">
        <v>58</v>
      </c>
      <c r="AM2" s="14" t="s">
        <v>59</v>
      </c>
    </row>
    <row r="3" ht="14.25" customHeight="1">
      <c r="A3" s="12">
        <v>2.0</v>
      </c>
      <c r="B3" s="12" t="s">
        <v>39</v>
      </c>
      <c r="C3" s="12" t="s">
        <v>40</v>
      </c>
      <c r="D3" s="12" t="s">
        <v>41</v>
      </c>
      <c r="E3" s="12" t="s">
        <v>60</v>
      </c>
      <c r="F3" s="12" t="s">
        <v>61</v>
      </c>
      <c r="G3" s="13" t="s">
        <v>44</v>
      </c>
      <c r="H3" s="12" t="s">
        <v>45</v>
      </c>
      <c r="I3" s="12" t="s">
        <v>62</v>
      </c>
      <c r="J3" s="13" t="s">
        <v>44</v>
      </c>
      <c r="K3" s="12" t="s">
        <v>63</v>
      </c>
      <c r="L3" s="12" t="s">
        <v>64</v>
      </c>
      <c r="M3" s="12" t="s">
        <v>49</v>
      </c>
      <c r="N3" s="12" t="s">
        <v>65</v>
      </c>
      <c r="O3" s="12" t="s">
        <v>51</v>
      </c>
      <c r="P3" s="12" t="s">
        <v>53</v>
      </c>
      <c r="Q3" s="12" t="s">
        <v>66</v>
      </c>
      <c r="R3" s="12" t="s">
        <v>44</v>
      </c>
      <c r="S3" s="13">
        <v>1.0</v>
      </c>
      <c r="T3" s="13">
        <v>1.0</v>
      </c>
      <c r="U3" s="13">
        <v>1.0</v>
      </c>
      <c r="V3" s="13">
        <v>1.0</v>
      </c>
      <c r="W3" s="13">
        <v>1.0</v>
      </c>
      <c r="X3" s="13">
        <v>0.0</v>
      </c>
      <c r="Y3" s="13">
        <v>0.0</v>
      </c>
      <c r="Z3" s="13">
        <f t="shared" si="1"/>
        <v>5</v>
      </c>
      <c r="AA3" s="12" t="s">
        <v>67</v>
      </c>
      <c r="AB3" s="14">
        <v>2.0</v>
      </c>
      <c r="AC3" s="14">
        <v>1.0</v>
      </c>
      <c r="AD3" s="14">
        <v>1.0</v>
      </c>
      <c r="AE3" s="14">
        <v>1.0</v>
      </c>
      <c r="AF3" s="14">
        <v>1.0</v>
      </c>
      <c r="AG3" s="14">
        <v>0.0</v>
      </c>
      <c r="AH3" s="14">
        <v>6.0</v>
      </c>
      <c r="AI3" s="14" t="s">
        <v>68</v>
      </c>
      <c r="AJ3" s="14" t="s">
        <v>69</v>
      </c>
      <c r="AK3" s="14" t="s">
        <v>70</v>
      </c>
      <c r="AL3" s="14" t="s">
        <v>56</v>
      </c>
      <c r="AM3" s="14" t="s">
        <v>71</v>
      </c>
    </row>
    <row r="4" ht="14.25" customHeight="1">
      <c r="A4" s="12">
        <v>3.0</v>
      </c>
      <c r="B4" s="12" t="s">
        <v>39</v>
      </c>
      <c r="C4" s="12" t="s">
        <v>40</v>
      </c>
      <c r="D4" s="12" t="s">
        <v>41</v>
      </c>
      <c r="E4" s="12" t="s">
        <v>72</v>
      </c>
      <c r="F4" s="12" t="s">
        <v>73</v>
      </c>
      <c r="G4" s="13" t="s">
        <v>44</v>
      </c>
      <c r="H4" s="12" t="s">
        <v>45</v>
      </c>
      <c r="I4" s="12" t="s">
        <v>74</v>
      </c>
      <c r="J4" s="13" t="s">
        <v>44</v>
      </c>
      <c r="K4" s="12" t="s">
        <v>75</v>
      </c>
      <c r="L4" s="12" t="s">
        <v>76</v>
      </c>
      <c r="M4" s="12" t="s">
        <v>49</v>
      </c>
      <c r="N4" s="12" t="s">
        <v>50</v>
      </c>
      <c r="O4" s="12" t="s">
        <v>44</v>
      </c>
      <c r="P4" s="12" t="s">
        <v>66</v>
      </c>
      <c r="Q4" s="12" t="s">
        <v>52</v>
      </c>
      <c r="R4" s="12" t="s">
        <v>77</v>
      </c>
      <c r="S4" s="13">
        <v>1.0</v>
      </c>
      <c r="T4" s="13">
        <v>1.0</v>
      </c>
      <c r="U4" s="13">
        <v>0.0</v>
      </c>
      <c r="V4" s="13">
        <v>0.0</v>
      </c>
      <c r="W4" s="13">
        <v>1.0</v>
      </c>
      <c r="X4" s="13">
        <v>0.0</v>
      </c>
      <c r="Y4" s="13">
        <v>1.0</v>
      </c>
      <c r="Z4" s="13">
        <f t="shared" si="1"/>
        <v>4</v>
      </c>
      <c r="AA4" s="12" t="s">
        <v>78</v>
      </c>
      <c r="AB4" s="14">
        <v>1.0</v>
      </c>
      <c r="AC4" s="14">
        <v>2.0</v>
      </c>
      <c r="AD4" s="14">
        <v>0.0</v>
      </c>
      <c r="AE4" s="14">
        <v>1.0</v>
      </c>
      <c r="AF4" s="14">
        <v>1.0</v>
      </c>
      <c r="AG4" s="14">
        <v>1.0</v>
      </c>
      <c r="AH4" s="14">
        <v>6.0</v>
      </c>
      <c r="AI4" s="14" t="s">
        <v>79</v>
      </c>
      <c r="AJ4" s="14" t="s">
        <v>80</v>
      </c>
      <c r="AK4" s="14" t="s">
        <v>58</v>
      </c>
      <c r="AL4" s="14" t="s">
        <v>81</v>
      </c>
      <c r="AM4" s="14" t="s">
        <v>82</v>
      </c>
    </row>
    <row r="5" ht="14.25" customHeight="1">
      <c r="A5" s="12">
        <v>4.0</v>
      </c>
      <c r="B5" s="12" t="s">
        <v>39</v>
      </c>
      <c r="C5" s="12" t="s">
        <v>40</v>
      </c>
      <c r="D5" s="12" t="s">
        <v>41</v>
      </c>
      <c r="E5" s="12" t="s">
        <v>83</v>
      </c>
      <c r="F5" s="12" t="s">
        <v>84</v>
      </c>
      <c r="G5" s="13" t="s">
        <v>44</v>
      </c>
      <c r="H5" s="12" t="s">
        <v>45</v>
      </c>
      <c r="I5" s="12" t="s">
        <v>85</v>
      </c>
      <c r="J5" s="13" t="s">
        <v>44</v>
      </c>
      <c r="K5" s="12" t="s">
        <v>75</v>
      </c>
      <c r="L5" s="12" t="s">
        <v>86</v>
      </c>
      <c r="M5" s="12" t="s">
        <v>49</v>
      </c>
      <c r="N5" s="12" t="s">
        <v>51</v>
      </c>
      <c r="O5" s="12" t="s">
        <v>87</v>
      </c>
      <c r="P5" s="12" t="s">
        <v>44</v>
      </c>
      <c r="Q5" s="12" t="s">
        <v>88</v>
      </c>
      <c r="R5" s="12" t="s">
        <v>44</v>
      </c>
      <c r="S5" s="13">
        <v>1.0</v>
      </c>
      <c r="T5" s="13">
        <v>0.0</v>
      </c>
      <c r="U5" s="13">
        <v>1.0</v>
      </c>
      <c r="V5" s="13">
        <v>1.0</v>
      </c>
      <c r="W5" s="13">
        <v>1.0</v>
      </c>
      <c r="X5" s="13">
        <v>0.0</v>
      </c>
      <c r="Y5" s="13">
        <v>1.0</v>
      </c>
      <c r="Z5" s="13">
        <f t="shared" si="1"/>
        <v>5</v>
      </c>
      <c r="AA5" s="12" t="s">
        <v>89</v>
      </c>
      <c r="AB5" s="14">
        <v>1.0</v>
      </c>
      <c r="AC5" s="14">
        <v>2.0</v>
      </c>
      <c r="AD5" s="14">
        <v>1.0</v>
      </c>
      <c r="AE5" s="14">
        <v>1.0</v>
      </c>
      <c r="AF5" s="14">
        <v>1.0</v>
      </c>
      <c r="AG5" s="14">
        <v>1.0</v>
      </c>
      <c r="AH5" s="14">
        <v>7.0</v>
      </c>
      <c r="AI5" s="14" t="s">
        <v>90</v>
      </c>
      <c r="AJ5" s="14" t="s">
        <v>80</v>
      </c>
      <c r="AK5" s="14" t="s">
        <v>91</v>
      </c>
      <c r="AL5" s="14" t="s">
        <v>92</v>
      </c>
      <c r="AM5" s="14" t="s">
        <v>93</v>
      </c>
    </row>
    <row r="6" ht="14.25" customHeight="1">
      <c r="A6" s="15">
        <v>5.0</v>
      </c>
      <c r="B6" s="16" t="s">
        <v>94</v>
      </c>
      <c r="C6" s="16" t="s">
        <v>95</v>
      </c>
      <c r="D6" s="16" t="s">
        <v>96</v>
      </c>
      <c r="E6" s="16" t="s">
        <v>97</v>
      </c>
      <c r="F6" s="16" t="s">
        <v>98</v>
      </c>
      <c r="G6" s="16">
        <v>160.0</v>
      </c>
      <c r="H6" s="16" t="s">
        <v>45</v>
      </c>
      <c r="I6" s="16" t="s">
        <v>99</v>
      </c>
      <c r="J6" s="16">
        <v>640.0</v>
      </c>
      <c r="K6" s="17" t="s">
        <v>100</v>
      </c>
      <c r="L6" s="16" t="s">
        <v>101</v>
      </c>
      <c r="M6" s="16" t="s">
        <v>49</v>
      </c>
      <c r="N6" s="16" t="s">
        <v>102</v>
      </c>
      <c r="O6" s="16" t="s">
        <v>51</v>
      </c>
      <c r="P6" s="16" t="s">
        <v>103</v>
      </c>
      <c r="Q6" s="16" t="s">
        <v>104</v>
      </c>
      <c r="R6" s="16" t="s">
        <v>105</v>
      </c>
      <c r="S6" s="16">
        <v>1.0</v>
      </c>
      <c r="T6" s="16">
        <v>0.0</v>
      </c>
      <c r="U6" s="16">
        <v>1.0</v>
      </c>
      <c r="V6" s="16">
        <v>1.0</v>
      </c>
      <c r="W6" s="16">
        <v>0.0</v>
      </c>
      <c r="X6" s="16">
        <v>0.0</v>
      </c>
      <c r="Y6" s="16">
        <v>0.0</v>
      </c>
      <c r="Z6" s="16">
        <v>3.0</v>
      </c>
      <c r="AA6" s="16" t="s">
        <v>106</v>
      </c>
      <c r="AB6" s="16">
        <v>1.0</v>
      </c>
      <c r="AC6" s="16">
        <v>1.0</v>
      </c>
      <c r="AD6" s="16">
        <v>2.0</v>
      </c>
      <c r="AE6" s="16">
        <v>2.0</v>
      </c>
      <c r="AF6" s="16">
        <v>1.0</v>
      </c>
      <c r="AG6" s="16">
        <v>1.0</v>
      </c>
      <c r="AH6" s="16">
        <v>8.0</v>
      </c>
      <c r="AI6" s="16" t="s">
        <v>107</v>
      </c>
      <c r="AJ6" s="16" t="s">
        <v>108</v>
      </c>
      <c r="AK6" s="16" t="s">
        <v>56</v>
      </c>
      <c r="AL6" s="16" t="s">
        <v>58</v>
      </c>
      <c r="AM6" s="16" t="s">
        <v>109</v>
      </c>
    </row>
    <row r="7" ht="14.25" customHeight="1">
      <c r="A7" s="15">
        <v>6.0</v>
      </c>
      <c r="B7" s="16" t="s">
        <v>94</v>
      </c>
      <c r="C7" s="16" t="s">
        <v>95</v>
      </c>
      <c r="D7" s="16" t="s">
        <v>96</v>
      </c>
      <c r="E7" s="16" t="s">
        <v>110</v>
      </c>
      <c r="F7" s="16" t="s">
        <v>111</v>
      </c>
      <c r="G7" s="16">
        <v>160.0</v>
      </c>
      <c r="H7" s="16" t="s">
        <v>45</v>
      </c>
      <c r="I7" s="16" t="s">
        <v>112</v>
      </c>
      <c r="J7" s="16">
        <v>640.0</v>
      </c>
      <c r="K7" s="16" t="s">
        <v>113</v>
      </c>
      <c r="L7" s="16" t="s">
        <v>114</v>
      </c>
      <c r="M7" s="16" t="s">
        <v>49</v>
      </c>
      <c r="N7" s="16" t="s">
        <v>51</v>
      </c>
      <c r="O7" s="16" t="s">
        <v>87</v>
      </c>
      <c r="P7" s="16" t="s">
        <v>53</v>
      </c>
      <c r="Q7" s="16" t="s">
        <v>105</v>
      </c>
      <c r="R7" s="16" t="s">
        <v>77</v>
      </c>
      <c r="S7" s="16">
        <v>1.0</v>
      </c>
      <c r="T7" s="16">
        <v>0.0</v>
      </c>
      <c r="U7" s="16">
        <v>1.0</v>
      </c>
      <c r="V7" s="16">
        <v>1.0</v>
      </c>
      <c r="W7" s="16">
        <v>0.0</v>
      </c>
      <c r="X7" s="16">
        <v>0.0</v>
      </c>
      <c r="Y7" s="16">
        <v>0.0</v>
      </c>
      <c r="Z7" s="16">
        <v>3.0</v>
      </c>
      <c r="AA7" s="16" t="s">
        <v>115</v>
      </c>
      <c r="AB7" s="16">
        <v>2.0</v>
      </c>
      <c r="AC7" s="16">
        <v>1.0</v>
      </c>
      <c r="AD7" s="16">
        <v>1.0</v>
      </c>
      <c r="AE7" s="16">
        <v>1.0</v>
      </c>
      <c r="AF7" s="18">
        <v>1.0</v>
      </c>
      <c r="AG7" s="18">
        <v>0.0</v>
      </c>
      <c r="AH7" s="18">
        <v>6.0</v>
      </c>
      <c r="AI7" s="16" t="s">
        <v>116</v>
      </c>
      <c r="AJ7" s="16" t="s">
        <v>81</v>
      </c>
      <c r="AK7" s="16" t="s">
        <v>58</v>
      </c>
      <c r="AL7" s="16" t="s">
        <v>56</v>
      </c>
      <c r="AM7" s="16" t="s">
        <v>117</v>
      </c>
    </row>
    <row r="8" ht="14.25" customHeight="1">
      <c r="A8" s="15">
        <v>7.0</v>
      </c>
      <c r="B8" s="16" t="s">
        <v>94</v>
      </c>
      <c r="C8" s="16" t="s">
        <v>95</v>
      </c>
      <c r="D8" s="16" t="s">
        <v>96</v>
      </c>
      <c r="E8" s="16" t="s">
        <v>118</v>
      </c>
      <c r="F8" s="16" t="s">
        <v>119</v>
      </c>
      <c r="G8" s="16">
        <v>30.0</v>
      </c>
      <c r="H8" s="16" t="s">
        <v>45</v>
      </c>
      <c r="I8" s="16" t="s">
        <v>120</v>
      </c>
      <c r="J8" s="16">
        <v>120.0</v>
      </c>
      <c r="K8" s="16" t="s">
        <v>121</v>
      </c>
      <c r="L8" s="16" t="s">
        <v>122</v>
      </c>
      <c r="M8" s="16" t="s">
        <v>49</v>
      </c>
      <c r="N8" s="16" t="s">
        <v>65</v>
      </c>
      <c r="O8" s="16" t="s">
        <v>51</v>
      </c>
      <c r="P8" s="16" t="s">
        <v>52</v>
      </c>
      <c r="Q8" s="16" t="s">
        <v>77</v>
      </c>
      <c r="R8" s="16" t="s">
        <v>66</v>
      </c>
      <c r="S8" s="16">
        <v>1.0</v>
      </c>
      <c r="T8" s="16">
        <v>1.0</v>
      </c>
      <c r="U8" s="16">
        <v>1.0</v>
      </c>
      <c r="V8" s="16">
        <v>1.0</v>
      </c>
      <c r="W8" s="16">
        <v>1.0</v>
      </c>
      <c r="X8" s="16">
        <v>0.0</v>
      </c>
      <c r="Y8" s="16">
        <v>1.0</v>
      </c>
      <c r="Z8" s="16">
        <v>6.0</v>
      </c>
      <c r="AA8" s="16" t="s">
        <v>123</v>
      </c>
      <c r="AB8" s="16">
        <v>2.0</v>
      </c>
      <c r="AC8" s="16">
        <v>2.0</v>
      </c>
      <c r="AD8" s="16">
        <v>1.0</v>
      </c>
      <c r="AE8" s="16">
        <v>2.0</v>
      </c>
      <c r="AF8" s="18">
        <v>2.0</v>
      </c>
      <c r="AG8" s="18">
        <v>2.0</v>
      </c>
      <c r="AH8" s="18">
        <v>11.0</v>
      </c>
      <c r="AI8" s="16" t="s">
        <v>124</v>
      </c>
      <c r="AJ8" s="16" t="s">
        <v>80</v>
      </c>
      <c r="AK8" s="16" t="s">
        <v>69</v>
      </c>
      <c r="AL8" s="16" t="s">
        <v>125</v>
      </c>
      <c r="AM8" s="16" t="s">
        <v>126</v>
      </c>
    </row>
    <row r="9" ht="14.25" customHeight="1">
      <c r="A9" s="15">
        <v>8.0</v>
      </c>
      <c r="B9" s="16" t="s">
        <v>127</v>
      </c>
      <c r="C9" s="16" t="s">
        <v>128</v>
      </c>
      <c r="D9" s="16" t="s">
        <v>129</v>
      </c>
      <c r="E9" s="16" t="s">
        <v>130</v>
      </c>
      <c r="F9" s="16" t="s">
        <v>131</v>
      </c>
      <c r="G9" s="16">
        <v>186.0</v>
      </c>
      <c r="H9" s="16" t="s">
        <v>132</v>
      </c>
      <c r="I9" s="16" t="s">
        <v>133</v>
      </c>
      <c r="J9" s="16">
        <v>340.0</v>
      </c>
      <c r="K9" s="16" t="s">
        <v>75</v>
      </c>
      <c r="L9" s="16" t="s">
        <v>134</v>
      </c>
      <c r="M9" s="16" t="s">
        <v>51</v>
      </c>
      <c r="N9" s="16" t="s">
        <v>49</v>
      </c>
      <c r="O9" s="16" t="s">
        <v>135</v>
      </c>
      <c r="P9" s="16" t="s">
        <v>103</v>
      </c>
      <c r="Q9" s="16" t="s">
        <v>52</v>
      </c>
      <c r="R9" s="16" t="s">
        <v>53</v>
      </c>
      <c r="S9" s="16">
        <v>1.0</v>
      </c>
      <c r="T9" s="16">
        <v>1.0</v>
      </c>
      <c r="U9" s="16">
        <v>0.0</v>
      </c>
      <c r="V9" s="16">
        <v>1.0</v>
      </c>
      <c r="W9" s="16">
        <v>0.0</v>
      </c>
      <c r="X9" s="16">
        <v>0.0</v>
      </c>
      <c r="Y9" s="16">
        <v>0.0</v>
      </c>
      <c r="Z9" s="16">
        <v>3.0</v>
      </c>
      <c r="AA9" s="16" t="s">
        <v>136</v>
      </c>
      <c r="AB9" s="16">
        <v>1.0</v>
      </c>
      <c r="AC9" s="16">
        <v>1.0</v>
      </c>
      <c r="AD9" s="16">
        <v>0.0</v>
      </c>
      <c r="AE9" s="16">
        <v>1.0</v>
      </c>
      <c r="AF9" s="16">
        <v>0.0</v>
      </c>
      <c r="AG9" s="16">
        <v>0.0</v>
      </c>
      <c r="AH9" s="16">
        <v>3.0</v>
      </c>
      <c r="AI9" s="16" t="s">
        <v>137</v>
      </c>
      <c r="AJ9" s="16" t="s">
        <v>80</v>
      </c>
      <c r="AK9" s="16" t="s">
        <v>70</v>
      </c>
      <c r="AL9" s="16" t="s">
        <v>58</v>
      </c>
      <c r="AM9" s="16" t="s">
        <v>138</v>
      </c>
    </row>
    <row r="10" ht="14.25" customHeight="1">
      <c r="A10" s="15">
        <v>9.0</v>
      </c>
      <c r="B10" s="16" t="s">
        <v>127</v>
      </c>
      <c r="C10" s="16" t="s">
        <v>128</v>
      </c>
      <c r="D10" s="16" t="s">
        <v>129</v>
      </c>
      <c r="E10" s="16" t="s">
        <v>139</v>
      </c>
      <c r="F10" s="16" t="s">
        <v>140</v>
      </c>
      <c r="G10" s="16">
        <v>45.0</v>
      </c>
      <c r="H10" s="16" t="s">
        <v>45</v>
      </c>
      <c r="I10" s="16" t="s">
        <v>141</v>
      </c>
      <c r="J10" s="16">
        <v>153.0</v>
      </c>
      <c r="K10" s="16" t="s">
        <v>75</v>
      </c>
      <c r="L10" s="16" t="s">
        <v>142</v>
      </c>
      <c r="M10" s="16" t="s">
        <v>143</v>
      </c>
      <c r="N10" s="16" t="s">
        <v>51</v>
      </c>
      <c r="O10" s="17" t="s">
        <v>144</v>
      </c>
      <c r="P10" s="16" t="s">
        <v>145</v>
      </c>
      <c r="Q10" s="16" t="s">
        <v>103</v>
      </c>
      <c r="R10" s="16" t="s">
        <v>146</v>
      </c>
      <c r="S10" s="16">
        <v>1.0</v>
      </c>
      <c r="T10" s="16">
        <v>0.0</v>
      </c>
      <c r="U10" s="16">
        <v>1.0</v>
      </c>
      <c r="V10" s="16">
        <v>1.0</v>
      </c>
      <c r="W10" s="16">
        <v>1.0</v>
      </c>
      <c r="X10" s="16">
        <v>0.0</v>
      </c>
      <c r="Y10" s="16">
        <v>0.0</v>
      </c>
      <c r="Z10" s="16">
        <v>4.0</v>
      </c>
      <c r="AA10" s="16" t="s">
        <v>147</v>
      </c>
      <c r="AB10" s="16">
        <v>1.0</v>
      </c>
      <c r="AC10" s="16">
        <v>0.0</v>
      </c>
      <c r="AD10" s="16">
        <v>1.0</v>
      </c>
      <c r="AE10" s="16">
        <v>1.0</v>
      </c>
      <c r="AF10" s="16">
        <v>1.0</v>
      </c>
      <c r="AG10" s="16">
        <v>0.0</v>
      </c>
      <c r="AH10" s="16">
        <v>4.0</v>
      </c>
      <c r="AI10" s="16" t="s">
        <v>148</v>
      </c>
      <c r="AJ10" s="16" t="s">
        <v>91</v>
      </c>
      <c r="AK10" s="16" t="s">
        <v>80</v>
      </c>
      <c r="AL10" s="16" t="s">
        <v>149</v>
      </c>
      <c r="AM10" s="16" t="s">
        <v>150</v>
      </c>
    </row>
    <row r="11" ht="14.25" customHeight="1">
      <c r="A11" s="15">
        <v>10.0</v>
      </c>
      <c r="B11" s="16" t="s">
        <v>127</v>
      </c>
      <c r="C11" s="16" t="s">
        <v>128</v>
      </c>
      <c r="D11" s="16" t="s">
        <v>129</v>
      </c>
      <c r="E11" s="16" t="s">
        <v>151</v>
      </c>
      <c r="F11" s="16" t="s">
        <v>152</v>
      </c>
      <c r="G11" s="16">
        <v>150.0</v>
      </c>
      <c r="H11" s="16" t="s">
        <v>121</v>
      </c>
      <c r="I11" s="16" t="s">
        <v>153</v>
      </c>
      <c r="J11" s="16">
        <v>340.0</v>
      </c>
      <c r="K11" s="16" t="s">
        <v>47</v>
      </c>
      <c r="L11" s="16" t="s">
        <v>154</v>
      </c>
      <c r="M11" s="16" t="s">
        <v>49</v>
      </c>
      <c r="N11" s="16" t="s">
        <v>51</v>
      </c>
      <c r="O11" s="16" t="s">
        <v>135</v>
      </c>
      <c r="P11" s="16" t="s">
        <v>88</v>
      </c>
      <c r="Q11" s="16" t="s">
        <v>105</v>
      </c>
      <c r="R11" s="16" t="s">
        <v>77</v>
      </c>
      <c r="S11" s="16">
        <v>1.0</v>
      </c>
      <c r="T11" s="16">
        <v>0.0</v>
      </c>
      <c r="U11" s="16">
        <v>1.0</v>
      </c>
      <c r="V11" s="16">
        <v>1.0</v>
      </c>
      <c r="W11" s="16">
        <v>1.0</v>
      </c>
      <c r="X11" s="16">
        <v>0.0</v>
      </c>
      <c r="Y11" s="16">
        <v>1.0</v>
      </c>
      <c r="Z11" s="16">
        <v>5.0</v>
      </c>
      <c r="AA11" s="16" t="s">
        <v>155</v>
      </c>
      <c r="AB11" s="16">
        <v>1.0</v>
      </c>
      <c r="AC11" s="16">
        <v>0.0</v>
      </c>
      <c r="AD11" s="16">
        <v>1.0</v>
      </c>
      <c r="AE11" s="16">
        <v>1.0</v>
      </c>
      <c r="AF11" s="16">
        <v>1.0</v>
      </c>
      <c r="AG11" s="16">
        <v>1.0</v>
      </c>
      <c r="AH11" s="16">
        <v>5.0</v>
      </c>
      <c r="AI11" s="16" t="s">
        <v>156</v>
      </c>
      <c r="AJ11" s="16" t="s">
        <v>157</v>
      </c>
      <c r="AK11" s="16" t="s">
        <v>158</v>
      </c>
      <c r="AL11" s="16" t="s">
        <v>159</v>
      </c>
      <c r="AM11" s="16" t="s">
        <v>160</v>
      </c>
    </row>
    <row r="12" ht="14.25" customHeight="1">
      <c r="A12" s="19">
        <v>11.0</v>
      </c>
      <c r="B12" s="16" t="s">
        <v>161</v>
      </c>
      <c r="C12" s="16" t="s">
        <v>162</v>
      </c>
      <c r="D12" s="16" t="s">
        <v>163</v>
      </c>
      <c r="E12" s="16" t="s">
        <v>164</v>
      </c>
      <c r="F12" s="16" t="s">
        <v>165</v>
      </c>
      <c r="G12" s="20">
        <v>210.0</v>
      </c>
      <c r="H12" s="16" t="s">
        <v>63</v>
      </c>
      <c r="I12" s="16" t="s">
        <v>166</v>
      </c>
      <c r="J12" s="20">
        <v>620.0</v>
      </c>
      <c r="K12" s="16" t="s">
        <v>47</v>
      </c>
      <c r="L12" s="16" t="s">
        <v>167</v>
      </c>
      <c r="M12" s="16" t="s">
        <v>65</v>
      </c>
      <c r="N12" s="16" t="s">
        <v>49</v>
      </c>
      <c r="O12" s="16" t="s">
        <v>135</v>
      </c>
      <c r="P12" s="16" t="s">
        <v>52</v>
      </c>
      <c r="Q12" s="16" t="s">
        <v>53</v>
      </c>
      <c r="R12" s="21" t="s">
        <v>168</v>
      </c>
      <c r="S12" s="22">
        <v>1.0</v>
      </c>
      <c r="T12" s="22">
        <v>1.0</v>
      </c>
      <c r="U12" s="22">
        <v>1.0</v>
      </c>
      <c r="V12" s="22">
        <v>1.0</v>
      </c>
      <c r="W12" s="22">
        <v>1.0</v>
      </c>
      <c r="X12" s="22">
        <v>1.0</v>
      </c>
      <c r="Y12" s="22">
        <v>1.0</v>
      </c>
      <c r="Z12" s="22">
        <v>7.0</v>
      </c>
      <c r="AA12" s="16" t="s">
        <v>169</v>
      </c>
      <c r="AB12" s="16">
        <v>1.0</v>
      </c>
      <c r="AC12" s="16">
        <v>1.0</v>
      </c>
      <c r="AD12" s="16">
        <v>1.0</v>
      </c>
      <c r="AE12" s="16">
        <v>1.0</v>
      </c>
      <c r="AF12" s="16">
        <v>1.0</v>
      </c>
      <c r="AG12" s="16">
        <v>1.0</v>
      </c>
      <c r="AH12" s="16">
        <v>6.0</v>
      </c>
      <c r="AI12" s="16" t="s">
        <v>170</v>
      </c>
      <c r="AJ12" s="16" t="s">
        <v>80</v>
      </c>
      <c r="AK12" s="16" t="s">
        <v>171</v>
      </c>
      <c r="AL12" s="16" t="s">
        <v>58</v>
      </c>
      <c r="AM12" s="16" t="s">
        <v>172</v>
      </c>
      <c r="AN12" s="14"/>
    </row>
    <row r="13" ht="14.25" customHeight="1">
      <c r="A13" s="19">
        <v>12.0</v>
      </c>
      <c r="B13" s="16" t="s">
        <v>161</v>
      </c>
      <c r="C13" s="16" t="s">
        <v>162</v>
      </c>
      <c r="D13" s="16" t="s">
        <v>163</v>
      </c>
      <c r="E13" s="16" t="s">
        <v>173</v>
      </c>
      <c r="F13" s="16" t="s">
        <v>174</v>
      </c>
      <c r="G13" s="20">
        <v>128.0</v>
      </c>
      <c r="H13" s="16" t="s">
        <v>63</v>
      </c>
      <c r="I13" s="16" t="s">
        <v>175</v>
      </c>
      <c r="J13" s="20">
        <v>320.0</v>
      </c>
      <c r="K13" s="16" t="s">
        <v>47</v>
      </c>
      <c r="L13" s="16" t="s">
        <v>176</v>
      </c>
      <c r="M13" s="16" t="s">
        <v>65</v>
      </c>
      <c r="N13" s="16" t="s">
        <v>49</v>
      </c>
      <c r="O13" s="16" t="s">
        <v>135</v>
      </c>
      <c r="P13" s="16" t="s">
        <v>66</v>
      </c>
      <c r="Q13" s="16" t="s">
        <v>53</v>
      </c>
      <c r="R13" s="16" t="s">
        <v>77</v>
      </c>
      <c r="S13" s="22">
        <v>1.0</v>
      </c>
      <c r="T13" s="22">
        <v>1.0</v>
      </c>
      <c r="U13" s="22">
        <v>1.0</v>
      </c>
      <c r="V13" s="22">
        <v>1.0</v>
      </c>
      <c r="W13" s="22">
        <v>1.0</v>
      </c>
      <c r="X13" s="22">
        <v>1.0</v>
      </c>
      <c r="Y13" s="22">
        <v>1.0</v>
      </c>
      <c r="Z13" s="22">
        <v>7.0</v>
      </c>
      <c r="AA13" s="16" t="s">
        <v>177</v>
      </c>
      <c r="AB13" s="16">
        <v>1.0</v>
      </c>
      <c r="AC13" s="16">
        <v>1.0</v>
      </c>
      <c r="AD13" s="16">
        <v>1.0</v>
      </c>
      <c r="AE13" s="16">
        <v>1.0</v>
      </c>
      <c r="AF13" s="16">
        <v>1.0</v>
      </c>
      <c r="AG13" s="16">
        <v>1.0</v>
      </c>
      <c r="AH13" s="16">
        <v>6.0</v>
      </c>
      <c r="AI13" s="16" t="s">
        <v>178</v>
      </c>
      <c r="AJ13" s="16" t="s">
        <v>80</v>
      </c>
      <c r="AK13" s="16" t="s">
        <v>171</v>
      </c>
      <c r="AL13" s="16" t="s">
        <v>58</v>
      </c>
      <c r="AM13" s="16" t="s">
        <v>179</v>
      </c>
      <c r="AN13" s="14"/>
    </row>
    <row r="14" ht="14.25" customHeight="1">
      <c r="A14" s="13">
        <v>13.0</v>
      </c>
      <c r="B14" s="12" t="s">
        <v>180</v>
      </c>
      <c r="C14" s="12" t="s">
        <v>181</v>
      </c>
      <c r="D14" s="12" t="s">
        <v>182</v>
      </c>
      <c r="E14" s="12" t="s">
        <v>183</v>
      </c>
      <c r="F14" s="12" t="s">
        <v>184</v>
      </c>
      <c r="G14" s="13">
        <v>31.0</v>
      </c>
      <c r="H14" s="12" t="s">
        <v>45</v>
      </c>
      <c r="I14" s="12" t="s">
        <v>185</v>
      </c>
      <c r="J14" s="13" t="s">
        <v>44</v>
      </c>
      <c r="K14" s="12" t="s">
        <v>44</v>
      </c>
      <c r="L14" s="12" t="s">
        <v>186</v>
      </c>
      <c r="M14" s="12" t="s">
        <v>49</v>
      </c>
      <c r="N14" s="12" t="s">
        <v>51</v>
      </c>
      <c r="O14" s="12" t="s">
        <v>44</v>
      </c>
      <c r="P14" s="12" t="s">
        <v>104</v>
      </c>
      <c r="Q14" s="12" t="s">
        <v>187</v>
      </c>
      <c r="R14" s="12" t="s">
        <v>52</v>
      </c>
      <c r="S14" s="13">
        <v>1.0</v>
      </c>
      <c r="T14" s="13">
        <v>1.0</v>
      </c>
      <c r="U14" s="13">
        <v>0.0</v>
      </c>
      <c r="V14" s="13">
        <v>1.0</v>
      </c>
      <c r="W14" s="13">
        <v>1.0</v>
      </c>
      <c r="X14" s="13">
        <v>0.0</v>
      </c>
      <c r="Y14" s="13">
        <v>1.0</v>
      </c>
      <c r="Z14" s="13">
        <v>5.0</v>
      </c>
      <c r="AA14" s="12" t="s">
        <v>188</v>
      </c>
      <c r="AB14" s="16">
        <v>1.0</v>
      </c>
      <c r="AC14" s="16">
        <v>1.0</v>
      </c>
      <c r="AD14" s="16">
        <v>0.0</v>
      </c>
      <c r="AE14" s="16">
        <v>1.0</v>
      </c>
      <c r="AF14" s="16">
        <v>1.0</v>
      </c>
      <c r="AG14" s="16">
        <v>1.0</v>
      </c>
      <c r="AH14" s="16">
        <v>5.0</v>
      </c>
      <c r="AI14" s="16" t="s">
        <v>189</v>
      </c>
      <c r="AJ14" s="16" t="s">
        <v>190</v>
      </c>
      <c r="AK14" s="16" t="s">
        <v>80</v>
      </c>
      <c r="AL14" s="16" t="s">
        <v>58</v>
      </c>
      <c r="AM14" s="16" t="s">
        <v>191</v>
      </c>
    </row>
    <row r="15" ht="14.25" customHeight="1">
      <c r="A15" s="13">
        <v>14.0</v>
      </c>
      <c r="B15" s="12" t="s">
        <v>180</v>
      </c>
      <c r="C15" s="12" t="s">
        <v>181</v>
      </c>
      <c r="D15" s="12" t="s">
        <v>182</v>
      </c>
      <c r="E15" s="12" t="s">
        <v>192</v>
      </c>
      <c r="F15" s="12" t="s">
        <v>193</v>
      </c>
      <c r="G15" s="13" t="s">
        <v>44</v>
      </c>
      <c r="H15" s="12" t="s">
        <v>45</v>
      </c>
      <c r="I15" s="12" t="s">
        <v>194</v>
      </c>
      <c r="J15" s="13" t="s">
        <v>44</v>
      </c>
      <c r="K15" s="12" t="s">
        <v>44</v>
      </c>
      <c r="L15" s="12" t="s">
        <v>195</v>
      </c>
      <c r="M15" s="12" t="s">
        <v>49</v>
      </c>
      <c r="N15" s="12" t="s">
        <v>51</v>
      </c>
      <c r="O15" s="12" t="s">
        <v>44</v>
      </c>
      <c r="P15" s="12" t="s">
        <v>53</v>
      </c>
      <c r="Q15" s="12" t="s">
        <v>187</v>
      </c>
      <c r="R15" s="12" t="s">
        <v>77</v>
      </c>
      <c r="S15" s="13">
        <v>1.0</v>
      </c>
      <c r="T15" s="13">
        <v>1.0</v>
      </c>
      <c r="U15" s="13">
        <v>1.0</v>
      </c>
      <c r="V15" s="13">
        <v>1.0</v>
      </c>
      <c r="W15" s="13">
        <v>1.0</v>
      </c>
      <c r="X15" s="13">
        <v>0.0</v>
      </c>
      <c r="Y15" s="13">
        <v>0.0</v>
      </c>
      <c r="Z15" s="13">
        <v>5.0</v>
      </c>
      <c r="AA15" s="12" t="s">
        <v>196</v>
      </c>
      <c r="AB15" s="16">
        <v>1.0</v>
      </c>
      <c r="AC15" s="16">
        <v>1.0</v>
      </c>
      <c r="AD15" s="16">
        <v>1.0</v>
      </c>
      <c r="AE15" s="16">
        <v>1.0</v>
      </c>
      <c r="AF15" s="16">
        <v>1.0</v>
      </c>
      <c r="AG15" s="16">
        <v>0.0</v>
      </c>
      <c r="AH15" s="16">
        <v>5.0</v>
      </c>
      <c r="AI15" s="16" t="s">
        <v>197</v>
      </c>
      <c r="AJ15" s="16" t="s">
        <v>58</v>
      </c>
      <c r="AK15" s="16" t="s">
        <v>198</v>
      </c>
      <c r="AL15" s="16" t="s">
        <v>199</v>
      </c>
      <c r="AM15" s="16" t="s">
        <v>200</v>
      </c>
    </row>
    <row r="16" ht="14.25" customHeight="1">
      <c r="A16" s="13">
        <v>15.0</v>
      </c>
      <c r="B16" s="12" t="s">
        <v>180</v>
      </c>
      <c r="C16" s="12" t="s">
        <v>181</v>
      </c>
      <c r="D16" s="12" t="s">
        <v>182</v>
      </c>
      <c r="E16" s="12" t="s">
        <v>201</v>
      </c>
      <c r="F16" s="12" t="s">
        <v>202</v>
      </c>
      <c r="G16" s="13">
        <v>3.0</v>
      </c>
      <c r="H16" s="12" t="s">
        <v>121</v>
      </c>
      <c r="I16" s="12" t="s">
        <v>203</v>
      </c>
      <c r="J16" s="13" t="s">
        <v>44</v>
      </c>
      <c r="K16" s="12" t="s">
        <v>44</v>
      </c>
      <c r="L16" s="12" t="s">
        <v>204</v>
      </c>
      <c r="M16" s="12" t="s">
        <v>49</v>
      </c>
      <c r="N16" s="12" t="s">
        <v>44</v>
      </c>
      <c r="O16" s="12" t="s">
        <v>44</v>
      </c>
      <c r="P16" s="12" t="s">
        <v>77</v>
      </c>
      <c r="Q16" s="12" t="s">
        <v>52</v>
      </c>
      <c r="R16" s="12" t="s">
        <v>44</v>
      </c>
      <c r="S16" s="13">
        <v>1.0</v>
      </c>
      <c r="T16" s="13">
        <v>1.0</v>
      </c>
      <c r="U16" s="13">
        <v>0.0</v>
      </c>
      <c r="V16" s="13">
        <v>0.0</v>
      </c>
      <c r="W16" s="13">
        <v>1.0</v>
      </c>
      <c r="X16" s="13">
        <v>0.0</v>
      </c>
      <c r="Y16" s="13">
        <v>1.0</v>
      </c>
      <c r="Z16" s="13">
        <v>4.0</v>
      </c>
      <c r="AA16" s="12" t="s">
        <v>205</v>
      </c>
      <c r="AB16" s="16">
        <v>1.0</v>
      </c>
      <c r="AC16" s="16">
        <v>1.0</v>
      </c>
      <c r="AD16" s="16">
        <v>1.0</v>
      </c>
      <c r="AE16" s="16">
        <v>1.0</v>
      </c>
      <c r="AF16" s="16">
        <v>1.0</v>
      </c>
      <c r="AG16" s="16">
        <v>1.0</v>
      </c>
      <c r="AH16" s="16">
        <v>6.0</v>
      </c>
      <c r="AI16" s="16" t="s">
        <v>206</v>
      </c>
      <c r="AJ16" s="16" t="s">
        <v>171</v>
      </c>
      <c r="AK16" s="16" t="s">
        <v>58</v>
      </c>
      <c r="AL16" s="16" t="s">
        <v>207</v>
      </c>
      <c r="AM16" s="16" t="s">
        <v>208</v>
      </c>
    </row>
    <row r="17" ht="14.25" customHeight="1">
      <c r="A17" s="13">
        <v>16.0</v>
      </c>
      <c r="B17" s="12" t="s">
        <v>180</v>
      </c>
      <c r="C17" s="12" t="s">
        <v>181</v>
      </c>
      <c r="D17" s="12" t="s">
        <v>182</v>
      </c>
      <c r="E17" s="12" t="s">
        <v>209</v>
      </c>
      <c r="F17" s="12" t="s">
        <v>210</v>
      </c>
      <c r="G17" s="13" t="s">
        <v>44</v>
      </c>
      <c r="H17" s="12" t="s">
        <v>121</v>
      </c>
      <c r="I17" s="12" t="s">
        <v>211</v>
      </c>
      <c r="J17" s="13" t="s">
        <v>44</v>
      </c>
      <c r="K17" s="12" t="s">
        <v>44</v>
      </c>
      <c r="L17" s="12" t="s">
        <v>212</v>
      </c>
      <c r="M17" s="12" t="s">
        <v>49</v>
      </c>
      <c r="N17" s="12" t="s">
        <v>44</v>
      </c>
      <c r="O17" s="12" t="s">
        <v>44</v>
      </c>
      <c r="P17" s="12" t="s">
        <v>213</v>
      </c>
      <c r="Q17" s="12" t="s">
        <v>77</v>
      </c>
      <c r="R17" s="12" t="s">
        <v>44</v>
      </c>
      <c r="S17" s="13">
        <v>1.0</v>
      </c>
      <c r="T17" s="13">
        <v>0.0</v>
      </c>
      <c r="U17" s="13">
        <v>0.0</v>
      </c>
      <c r="V17" s="13">
        <v>1.0</v>
      </c>
      <c r="W17" s="13">
        <v>1.0</v>
      </c>
      <c r="X17" s="13">
        <v>0.0</v>
      </c>
      <c r="Y17" s="13">
        <v>1.0</v>
      </c>
      <c r="Z17" s="13">
        <v>4.0</v>
      </c>
      <c r="AA17" s="12" t="s">
        <v>214</v>
      </c>
      <c r="AB17" s="16">
        <v>0.0</v>
      </c>
      <c r="AC17" s="16">
        <v>1.0</v>
      </c>
      <c r="AD17" s="16">
        <v>1.0</v>
      </c>
      <c r="AE17" s="16">
        <v>1.0</v>
      </c>
      <c r="AF17" s="16">
        <v>0.0</v>
      </c>
      <c r="AG17" s="16">
        <v>1.0</v>
      </c>
      <c r="AH17" s="16">
        <v>4.0</v>
      </c>
      <c r="AI17" s="16" t="s">
        <v>215</v>
      </c>
      <c r="AJ17" s="16" t="s">
        <v>216</v>
      </c>
      <c r="AK17" s="16" t="s">
        <v>81</v>
      </c>
      <c r="AL17" s="16" t="s">
        <v>58</v>
      </c>
      <c r="AM17" s="16" t="s">
        <v>217</v>
      </c>
    </row>
    <row r="18" ht="14.25" customHeight="1">
      <c r="A18" s="13">
        <v>17.0</v>
      </c>
      <c r="B18" s="12" t="s">
        <v>180</v>
      </c>
      <c r="C18" s="12" t="s">
        <v>181</v>
      </c>
      <c r="D18" s="12" t="s">
        <v>182</v>
      </c>
      <c r="E18" s="12" t="s">
        <v>218</v>
      </c>
      <c r="F18" s="12" t="s">
        <v>219</v>
      </c>
      <c r="G18" s="13">
        <v>3.0</v>
      </c>
      <c r="H18" s="12" t="s">
        <v>75</v>
      </c>
      <c r="I18" s="12" t="s">
        <v>220</v>
      </c>
      <c r="J18" s="13" t="s">
        <v>44</v>
      </c>
      <c r="K18" s="12" t="s">
        <v>44</v>
      </c>
      <c r="L18" s="12" t="s">
        <v>221</v>
      </c>
      <c r="M18" s="12" t="s">
        <v>49</v>
      </c>
      <c r="N18" s="12" t="s">
        <v>44</v>
      </c>
      <c r="O18" s="12" t="s">
        <v>44</v>
      </c>
      <c r="P18" s="12" t="s">
        <v>222</v>
      </c>
      <c r="Q18" s="12" t="s">
        <v>77</v>
      </c>
      <c r="R18" s="12" t="s">
        <v>44</v>
      </c>
      <c r="S18" s="13">
        <v>1.0</v>
      </c>
      <c r="T18" s="13">
        <v>0.0</v>
      </c>
      <c r="U18" s="13">
        <v>0.0</v>
      </c>
      <c r="V18" s="13">
        <v>0.0</v>
      </c>
      <c r="W18" s="13">
        <v>1.0</v>
      </c>
      <c r="X18" s="13">
        <v>0.0</v>
      </c>
      <c r="Y18" s="13">
        <v>1.0</v>
      </c>
      <c r="Z18" s="13">
        <v>3.0</v>
      </c>
      <c r="AA18" s="12" t="s">
        <v>223</v>
      </c>
      <c r="AB18" s="16">
        <v>0.0</v>
      </c>
      <c r="AC18" s="16">
        <v>1.0</v>
      </c>
      <c r="AD18" s="16">
        <v>1.0</v>
      </c>
      <c r="AE18" s="16">
        <v>1.0</v>
      </c>
      <c r="AF18" s="16">
        <v>0.0</v>
      </c>
      <c r="AG18" s="16">
        <v>0.0</v>
      </c>
      <c r="AH18" s="16">
        <v>3.0</v>
      </c>
      <c r="AI18" s="16" t="s">
        <v>224</v>
      </c>
      <c r="AJ18" s="16" t="s">
        <v>81</v>
      </c>
      <c r="AK18" s="16" t="s">
        <v>225</v>
      </c>
      <c r="AL18" s="16" t="s">
        <v>216</v>
      </c>
      <c r="AM18" s="16" t="s">
        <v>226</v>
      </c>
    </row>
    <row r="19" ht="14.25" customHeight="1">
      <c r="A19" s="23">
        <v>18.0</v>
      </c>
      <c r="B19" s="12" t="s">
        <v>39</v>
      </c>
      <c r="C19" s="12" t="s">
        <v>227</v>
      </c>
      <c r="D19" s="12" t="s">
        <v>228</v>
      </c>
      <c r="E19" s="12" t="s">
        <v>229</v>
      </c>
      <c r="F19" s="12" t="s">
        <v>230</v>
      </c>
      <c r="G19" s="13">
        <f>3+66+52+43+5+20+30+1</f>
        <v>220</v>
      </c>
      <c r="H19" s="12" t="s">
        <v>45</v>
      </c>
      <c r="I19" s="12" t="s">
        <v>231</v>
      </c>
      <c r="J19" s="13">
        <f>25</f>
        <v>25</v>
      </c>
      <c r="K19" s="12" t="s">
        <v>232</v>
      </c>
      <c r="L19" s="12" t="s">
        <v>233</v>
      </c>
      <c r="M19" s="12" t="s">
        <v>49</v>
      </c>
      <c r="N19" s="12" t="s">
        <v>51</v>
      </c>
      <c r="O19" s="12" t="s">
        <v>65</v>
      </c>
      <c r="P19" s="12" t="s">
        <v>52</v>
      </c>
      <c r="Q19" s="12" t="s">
        <v>234</v>
      </c>
      <c r="R19" s="12" t="s">
        <v>77</v>
      </c>
      <c r="S19" s="13">
        <v>1.0</v>
      </c>
      <c r="T19" s="13">
        <v>1.0</v>
      </c>
      <c r="U19" s="13">
        <v>0.0</v>
      </c>
      <c r="V19" s="13">
        <v>1.0</v>
      </c>
      <c r="W19" s="13">
        <v>1.0</v>
      </c>
      <c r="X19" s="13">
        <v>0.0</v>
      </c>
      <c r="Y19" s="13">
        <v>1.0</v>
      </c>
      <c r="Z19" s="13">
        <v>5.0</v>
      </c>
      <c r="AA19" s="12" t="s">
        <v>235</v>
      </c>
      <c r="AB19" s="16">
        <v>2.0</v>
      </c>
      <c r="AC19" s="16">
        <v>2.0</v>
      </c>
      <c r="AD19" s="16">
        <v>1.0</v>
      </c>
      <c r="AE19" s="16">
        <v>2.0</v>
      </c>
      <c r="AF19" s="16">
        <v>2.0</v>
      </c>
      <c r="AG19" s="16">
        <v>2.0</v>
      </c>
      <c r="AH19" s="16">
        <v>11.0</v>
      </c>
      <c r="AI19" s="16" t="s">
        <v>236</v>
      </c>
      <c r="AJ19" s="16" t="s">
        <v>237</v>
      </c>
      <c r="AK19" s="16" t="s">
        <v>238</v>
      </c>
      <c r="AL19" s="16" t="s">
        <v>239</v>
      </c>
      <c r="AM19" s="16" t="s">
        <v>240</v>
      </c>
    </row>
    <row r="20" ht="14.25" customHeight="1">
      <c r="A20" s="24">
        <v>19.0</v>
      </c>
      <c r="B20" s="12" t="s">
        <v>39</v>
      </c>
      <c r="C20" s="12" t="s">
        <v>227</v>
      </c>
      <c r="D20" s="12" t="s">
        <v>228</v>
      </c>
      <c r="E20" s="12" t="s">
        <v>241</v>
      </c>
      <c r="F20" s="12" t="s">
        <v>242</v>
      </c>
      <c r="G20" s="13">
        <f>210+198+72+30+35+36</f>
        <v>581</v>
      </c>
      <c r="H20" s="12" t="s">
        <v>132</v>
      </c>
      <c r="I20" s="12" t="s">
        <v>243</v>
      </c>
      <c r="J20" s="13">
        <v>25.0</v>
      </c>
      <c r="K20" s="12" t="s">
        <v>232</v>
      </c>
      <c r="L20" s="12" t="s">
        <v>244</v>
      </c>
      <c r="M20" s="12" t="s">
        <v>49</v>
      </c>
      <c r="N20" s="12" t="s">
        <v>51</v>
      </c>
      <c r="O20" s="12" t="s">
        <v>65</v>
      </c>
      <c r="P20" s="12" t="s">
        <v>103</v>
      </c>
      <c r="Q20" s="12" t="s">
        <v>53</v>
      </c>
      <c r="R20" s="12" t="s">
        <v>245</v>
      </c>
      <c r="S20" s="13">
        <v>1.0</v>
      </c>
      <c r="T20" s="13">
        <v>1.0</v>
      </c>
      <c r="U20" s="13">
        <v>1.0</v>
      </c>
      <c r="V20" s="13">
        <v>1.0</v>
      </c>
      <c r="W20" s="13">
        <v>1.0</v>
      </c>
      <c r="X20" s="13">
        <v>1.0</v>
      </c>
      <c r="Y20" s="13">
        <v>1.0</v>
      </c>
      <c r="Z20" s="13">
        <v>7.0</v>
      </c>
      <c r="AA20" s="12" t="s">
        <v>246</v>
      </c>
      <c r="AB20" s="16">
        <v>1.0</v>
      </c>
      <c r="AC20" s="16">
        <v>1.0</v>
      </c>
      <c r="AD20" s="16">
        <v>1.0</v>
      </c>
      <c r="AE20" s="16">
        <v>1.0</v>
      </c>
      <c r="AF20" s="16">
        <v>1.0</v>
      </c>
      <c r="AG20" s="16">
        <v>0.0</v>
      </c>
      <c r="AH20" s="16">
        <v>5.0</v>
      </c>
      <c r="AI20" s="16" t="s">
        <v>247</v>
      </c>
      <c r="AJ20" s="16" t="s">
        <v>248</v>
      </c>
      <c r="AK20" s="16" t="s">
        <v>238</v>
      </c>
      <c r="AL20" s="16" t="s">
        <v>249</v>
      </c>
      <c r="AM20" s="16" t="s">
        <v>250</v>
      </c>
    </row>
    <row r="21" ht="14.25" customHeight="1">
      <c r="A21" s="25">
        <v>20.0</v>
      </c>
      <c r="B21" s="16" t="s">
        <v>39</v>
      </c>
      <c r="C21" s="16" t="s">
        <v>251</v>
      </c>
      <c r="D21" s="16" t="s">
        <v>252</v>
      </c>
      <c r="E21" s="16" t="s">
        <v>253</v>
      </c>
      <c r="F21" s="16" t="s">
        <v>254</v>
      </c>
      <c r="G21" s="16">
        <v>66.0</v>
      </c>
      <c r="H21" s="16" t="s">
        <v>45</v>
      </c>
      <c r="I21" s="16" t="s">
        <v>255</v>
      </c>
      <c r="J21" s="16">
        <v>210.0</v>
      </c>
      <c r="K21" s="16" t="s">
        <v>47</v>
      </c>
      <c r="L21" s="16" t="s">
        <v>256</v>
      </c>
      <c r="M21" s="16" t="s">
        <v>49</v>
      </c>
      <c r="N21" s="16" t="s">
        <v>102</v>
      </c>
      <c r="O21" s="16" t="s">
        <v>257</v>
      </c>
      <c r="P21" s="16" t="s">
        <v>52</v>
      </c>
      <c r="Q21" s="16" t="s">
        <v>104</v>
      </c>
      <c r="R21" s="16" t="s">
        <v>53</v>
      </c>
      <c r="S21" s="16">
        <v>1.0</v>
      </c>
      <c r="T21" s="16">
        <v>1.0</v>
      </c>
      <c r="U21" s="16">
        <v>1.0</v>
      </c>
      <c r="V21" s="16">
        <v>1.0</v>
      </c>
      <c r="W21" s="16">
        <v>1.0</v>
      </c>
      <c r="X21" s="16">
        <v>0.0</v>
      </c>
      <c r="Y21" s="16">
        <v>0.0</v>
      </c>
      <c r="Z21" s="16">
        <v>6.0</v>
      </c>
      <c r="AA21" s="16" t="s">
        <v>258</v>
      </c>
      <c r="AB21" s="16">
        <v>2.0</v>
      </c>
      <c r="AC21" s="16">
        <v>1.0</v>
      </c>
      <c r="AD21" s="16">
        <v>2.0</v>
      </c>
      <c r="AE21" s="16">
        <v>1.0</v>
      </c>
      <c r="AF21" s="16">
        <v>1.0</v>
      </c>
      <c r="AG21" s="16">
        <v>0.0</v>
      </c>
      <c r="AH21" s="16">
        <v>7.0</v>
      </c>
      <c r="AI21" s="16" t="s">
        <v>259</v>
      </c>
      <c r="AJ21" s="16" t="s">
        <v>58</v>
      </c>
      <c r="AK21" s="16" t="s">
        <v>92</v>
      </c>
      <c r="AL21" s="16" t="s">
        <v>70</v>
      </c>
      <c r="AM21" s="16" t="s">
        <v>260</v>
      </c>
    </row>
    <row r="22" ht="14.25" customHeight="1">
      <c r="A22" s="25">
        <v>21.0</v>
      </c>
      <c r="B22" s="16" t="s">
        <v>39</v>
      </c>
      <c r="C22" s="16" t="s">
        <v>251</v>
      </c>
      <c r="D22" s="16" t="s">
        <v>252</v>
      </c>
      <c r="E22" s="16" t="s">
        <v>261</v>
      </c>
      <c r="F22" s="16" t="s">
        <v>262</v>
      </c>
      <c r="G22" s="16">
        <v>10.0</v>
      </c>
      <c r="H22" s="16" t="s">
        <v>45</v>
      </c>
      <c r="I22" s="16" t="s">
        <v>263</v>
      </c>
      <c r="J22" s="16">
        <v>180.0</v>
      </c>
      <c r="K22" s="16" t="s">
        <v>47</v>
      </c>
      <c r="L22" s="16" t="s">
        <v>264</v>
      </c>
      <c r="M22" s="16" t="s">
        <v>49</v>
      </c>
      <c r="N22" s="16" t="s">
        <v>87</v>
      </c>
      <c r="O22" s="16" t="s">
        <v>51</v>
      </c>
      <c r="P22" s="16" t="s">
        <v>52</v>
      </c>
      <c r="Q22" s="16" t="s">
        <v>104</v>
      </c>
      <c r="R22" s="16" t="s">
        <v>103</v>
      </c>
      <c r="S22" s="16">
        <v>1.0</v>
      </c>
      <c r="T22" s="16">
        <v>0.0</v>
      </c>
      <c r="U22" s="16">
        <v>0.0</v>
      </c>
      <c r="V22" s="16">
        <v>1.0</v>
      </c>
      <c r="W22" s="16">
        <v>1.0</v>
      </c>
      <c r="X22" s="16">
        <v>0.0</v>
      </c>
      <c r="Y22" s="16">
        <v>0.0</v>
      </c>
      <c r="Z22" s="16">
        <v>3.0</v>
      </c>
      <c r="AA22" s="16" t="s">
        <v>265</v>
      </c>
      <c r="AB22" s="16">
        <v>1.0</v>
      </c>
      <c r="AC22" s="16">
        <v>0.0</v>
      </c>
      <c r="AD22" s="16">
        <v>1.0</v>
      </c>
      <c r="AE22" s="16">
        <v>1.0</v>
      </c>
      <c r="AF22" s="16">
        <v>0.0</v>
      </c>
      <c r="AG22" s="16">
        <v>0.0</v>
      </c>
      <c r="AH22" s="16">
        <v>3.0</v>
      </c>
      <c r="AI22" s="16" t="s">
        <v>266</v>
      </c>
      <c r="AJ22" s="16" t="s">
        <v>108</v>
      </c>
      <c r="AK22" s="16" t="s">
        <v>92</v>
      </c>
      <c r="AL22" s="16" t="s">
        <v>58</v>
      </c>
      <c r="AM22" s="16" t="s">
        <v>267</v>
      </c>
    </row>
    <row r="23" ht="14.25" customHeight="1">
      <c r="A23" s="25">
        <v>22.0</v>
      </c>
      <c r="B23" s="16" t="s">
        <v>39</v>
      </c>
      <c r="C23" s="16" t="s">
        <v>268</v>
      </c>
      <c r="D23" s="16" t="s">
        <v>252</v>
      </c>
      <c r="E23" s="16" t="s">
        <v>269</v>
      </c>
      <c r="F23" s="16" t="s">
        <v>270</v>
      </c>
      <c r="G23" s="16">
        <v>70.0</v>
      </c>
      <c r="H23" s="16" t="s">
        <v>121</v>
      </c>
      <c r="I23" s="16" t="s">
        <v>271</v>
      </c>
      <c r="J23" s="16">
        <v>170.0</v>
      </c>
      <c r="K23" s="16" t="s">
        <v>272</v>
      </c>
      <c r="L23" s="16" t="s">
        <v>273</v>
      </c>
      <c r="M23" s="16" t="s">
        <v>135</v>
      </c>
      <c r="N23" s="16" t="s">
        <v>49</v>
      </c>
      <c r="O23" s="16" t="s">
        <v>87</v>
      </c>
      <c r="P23" s="16" t="s">
        <v>145</v>
      </c>
      <c r="Q23" s="16" t="s">
        <v>274</v>
      </c>
      <c r="R23" s="16" t="s">
        <v>103</v>
      </c>
      <c r="S23" s="16">
        <v>1.0</v>
      </c>
      <c r="T23" s="16">
        <v>1.0</v>
      </c>
      <c r="U23" s="16">
        <v>1.0</v>
      </c>
      <c r="V23" s="16">
        <v>1.0</v>
      </c>
      <c r="W23" s="16">
        <v>1.0</v>
      </c>
      <c r="X23" s="16">
        <v>1.0</v>
      </c>
      <c r="Y23" s="16">
        <v>1.0</v>
      </c>
      <c r="Z23" s="16">
        <v>7.0</v>
      </c>
      <c r="AA23" s="16" t="s">
        <v>275</v>
      </c>
      <c r="AB23" s="16">
        <v>2.0</v>
      </c>
      <c r="AC23" s="16">
        <v>2.0</v>
      </c>
      <c r="AD23" s="16">
        <v>1.0</v>
      </c>
      <c r="AE23" s="16">
        <v>2.0</v>
      </c>
      <c r="AF23" s="16">
        <v>1.0</v>
      </c>
      <c r="AG23" s="16">
        <v>2.0</v>
      </c>
      <c r="AH23" s="16">
        <v>10.0</v>
      </c>
      <c r="AI23" s="16" t="s">
        <v>276</v>
      </c>
      <c r="AJ23" s="16" t="s">
        <v>80</v>
      </c>
      <c r="AK23" s="16" t="s">
        <v>149</v>
      </c>
      <c r="AL23" s="16" t="s">
        <v>58</v>
      </c>
      <c r="AM23" s="16" t="s">
        <v>277</v>
      </c>
    </row>
    <row r="24" ht="14.25" customHeight="1">
      <c r="A24" s="13">
        <v>23.0</v>
      </c>
      <c r="B24" s="12" t="s">
        <v>161</v>
      </c>
      <c r="C24" s="12" t="s">
        <v>278</v>
      </c>
      <c r="D24" s="12" t="s">
        <v>279</v>
      </c>
      <c r="E24" s="12" t="s">
        <v>280</v>
      </c>
      <c r="F24" s="12" t="s">
        <v>281</v>
      </c>
      <c r="G24" s="13">
        <v>40.0</v>
      </c>
      <c r="H24" s="12" t="s">
        <v>132</v>
      </c>
      <c r="I24" s="12" t="s">
        <v>282</v>
      </c>
      <c r="J24" s="13" t="s">
        <v>44</v>
      </c>
      <c r="K24" s="12" t="s">
        <v>113</v>
      </c>
      <c r="L24" s="12" t="s">
        <v>283</v>
      </c>
      <c r="M24" s="12" t="s">
        <v>49</v>
      </c>
      <c r="N24" s="12" t="s">
        <v>102</v>
      </c>
      <c r="O24" s="12" t="s">
        <v>87</v>
      </c>
      <c r="P24" s="12" t="s">
        <v>53</v>
      </c>
      <c r="Q24" s="12" t="s">
        <v>52</v>
      </c>
      <c r="R24" s="12" t="s">
        <v>105</v>
      </c>
      <c r="S24" s="13">
        <v>1.0</v>
      </c>
      <c r="T24" s="13">
        <v>0.0</v>
      </c>
      <c r="U24" s="13">
        <v>0.0</v>
      </c>
      <c r="V24" s="13">
        <v>1.0</v>
      </c>
      <c r="W24" s="13">
        <v>0.0</v>
      </c>
      <c r="X24" s="13">
        <v>0.0</v>
      </c>
      <c r="Y24" s="13">
        <v>0.0</v>
      </c>
      <c r="Z24" s="13">
        <v>2.0</v>
      </c>
      <c r="AA24" s="12" t="s">
        <v>284</v>
      </c>
      <c r="AB24" s="12">
        <v>1.0</v>
      </c>
      <c r="AC24" s="12">
        <v>0.0</v>
      </c>
      <c r="AD24" s="12">
        <v>1.0</v>
      </c>
      <c r="AE24" s="12">
        <v>1.0</v>
      </c>
      <c r="AF24" s="12">
        <v>0.0</v>
      </c>
      <c r="AG24" s="12">
        <v>0.0</v>
      </c>
      <c r="AH24" s="12">
        <v>3.0</v>
      </c>
      <c r="AI24" s="12" t="s">
        <v>285</v>
      </c>
      <c r="AJ24" s="12" t="s">
        <v>108</v>
      </c>
      <c r="AK24" s="12" t="s">
        <v>58</v>
      </c>
      <c r="AL24" s="12" t="s">
        <v>92</v>
      </c>
      <c r="AM24" s="12" t="s">
        <v>286</v>
      </c>
    </row>
    <row r="25" ht="14.25" customHeight="1">
      <c r="A25" s="13">
        <v>24.0</v>
      </c>
      <c r="B25" s="12" t="s">
        <v>161</v>
      </c>
      <c r="C25" s="12" t="s">
        <v>278</v>
      </c>
      <c r="D25" s="12" t="s">
        <v>279</v>
      </c>
      <c r="E25" s="12" t="s">
        <v>287</v>
      </c>
      <c r="F25" s="12" t="s">
        <v>288</v>
      </c>
      <c r="G25" s="13">
        <v>3059.0</v>
      </c>
      <c r="H25" s="12" t="s">
        <v>121</v>
      </c>
      <c r="I25" s="12" t="s">
        <v>289</v>
      </c>
      <c r="J25" s="13" t="s">
        <v>44</v>
      </c>
      <c r="K25" s="12" t="s">
        <v>75</v>
      </c>
      <c r="L25" s="12" t="s">
        <v>290</v>
      </c>
      <c r="M25" s="12" t="s">
        <v>49</v>
      </c>
      <c r="N25" s="12" t="s">
        <v>135</v>
      </c>
      <c r="O25" s="12" t="s">
        <v>102</v>
      </c>
      <c r="P25" s="12" t="s">
        <v>66</v>
      </c>
      <c r="Q25" s="12" t="s">
        <v>52</v>
      </c>
      <c r="R25" s="12" t="s">
        <v>103</v>
      </c>
      <c r="S25" s="13">
        <v>1.0</v>
      </c>
      <c r="T25" s="13">
        <v>1.0</v>
      </c>
      <c r="U25" s="13">
        <v>0.0</v>
      </c>
      <c r="V25" s="13">
        <v>1.0</v>
      </c>
      <c r="W25" s="13">
        <v>1.0</v>
      </c>
      <c r="X25" s="13">
        <v>1.0</v>
      </c>
      <c r="Y25" s="13">
        <v>1.0</v>
      </c>
      <c r="Z25" s="13">
        <v>6.0</v>
      </c>
      <c r="AA25" s="12" t="s">
        <v>291</v>
      </c>
      <c r="AB25" s="12">
        <v>2.0</v>
      </c>
      <c r="AC25" s="12">
        <v>2.0</v>
      </c>
      <c r="AD25" s="12">
        <v>1.0</v>
      </c>
      <c r="AE25" s="12">
        <v>2.0</v>
      </c>
      <c r="AF25" s="12">
        <v>1.0</v>
      </c>
      <c r="AG25" s="12">
        <v>2.0</v>
      </c>
      <c r="AH25" s="12">
        <v>10.0</v>
      </c>
      <c r="AI25" s="12" t="s">
        <v>292</v>
      </c>
      <c r="AJ25" s="12" t="s">
        <v>80</v>
      </c>
      <c r="AK25" s="12" t="s">
        <v>149</v>
      </c>
      <c r="AL25" s="12" t="s">
        <v>190</v>
      </c>
      <c r="AM25" s="12" t="s">
        <v>293</v>
      </c>
    </row>
    <row r="26" ht="14.25" customHeight="1">
      <c r="A26" s="13">
        <v>25.0</v>
      </c>
      <c r="B26" s="12" t="s">
        <v>161</v>
      </c>
      <c r="C26" s="12" t="s">
        <v>278</v>
      </c>
      <c r="D26" s="12" t="s">
        <v>279</v>
      </c>
      <c r="E26" s="12" t="s">
        <v>294</v>
      </c>
      <c r="F26" s="12" t="s">
        <v>295</v>
      </c>
      <c r="G26" s="13" t="s">
        <v>44</v>
      </c>
      <c r="H26" s="12" t="s">
        <v>296</v>
      </c>
      <c r="I26" s="12" t="s">
        <v>297</v>
      </c>
      <c r="J26" s="13" t="s">
        <v>44</v>
      </c>
      <c r="K26" s="12" t="s">
        <v>47</v>
      </c>
      <c r="L26" s="12" t="s">
        <v>298</v>
      </c>
      <c r="M26" s="12" t="s">
        <v>135</v>
      </c>
      <c r="N26" s="12" t="s">
        <v>257</v>
      </c>
      <c r="O26" s="12" t="s">
        <v>102</v>
      </c>
      <c r="P26" s="12" t="s">
        <v>53</v>
      </c>
      <c r="Q26" s="12" t="s">
        <v>52</v>
      </c>
      <c r="R26" s="12" t="s">
        <v>77</v>
      </c>
      <c r="S26" s="13">
        <v>1.0</v>
      </c>
      <c r="T26" s="13">
        <v>1.0</v>
      </c>
      <c r="U26" s="13">
        <v>0.0</v>
      </c>
      <c r="V26" s="13">
        <v>1.0</v>
      </c>
      <c r="W26" s="13">
        <v>0.0</v>
      </c>
      <c r="X26" s="13">
        <v>0.0</v>
      </c>
      <c r="Y26" s="13">
        <v>0.0</v>
      </c>
      <c r="Z26" s="13">
        <v>3.0</v>
      </c>
      <c r="AA26" s="12" t="s">
        <v>299</v>
      </c>
      <c r="AB26" s="12">
        <v>0.0</v>
      </c>
      <c r="AC26" s="12">
        <v>1.0</v>
      </c>
      <c r="AD26" s="12">
        <v>0.0</v>
      </c>
      <c r="AE26" s="12">
        <v>1.0</v>
      </c>
      <c r="AF26" s="12">
        <v>0.0</v>
      </c>
      <c r="AG26" s="12">
        <v>0.0</v>
      </c>
      <c r="AH26" s="12">
        <v>2.0</v>
      </c>
      <c r="AI26" s="12" t="s">
        <v>300</v>
      </c>
      <c r="AJ26" s="12" t="s">
        <v>69</v>
      </c>
      <c r="AK26" s="12" t="s">
        <v>80</v>
      </c>
      <c r="AL26" s="12" t="s">
        <v>70</v>
      </c>
      <c r="AM26" s="12" t="s">
        <v>301</v>
      </c>
    </row>
    <row r="27" ht="14.25" customHeight="1">
      <c r="A27" s="13">
        <v>26.0</v>
      </c>
      <c r="B27" s="12" t="s">
        <v>161</v>
      </c>
      <c r="C27" s="12" t="s">
        <v>278</v>
      </c>
      <c r="D27" s="12" t="s">
        <v>279</v>
      </c>
      <c r="E27" s="12" t="s">
        <v>302</v>
      </c>
      <c r="F27" s="12" t="s">
        <v>303</v>
      </c>
      <c r="G27" s="13" t="s">
        <v>44</v>
      </c>
      <c r="H27" s="12" t="s">
        <v>132</v>
      </c>
      <c r="I27" s="12" t="s">
        <v>304</v>
      </c>
      <c r="J27" s="13" t="s">
        <v>44</v>
      </c>
      <c r="K27" s="12" t="s">
        <v>75</v>
      </c>
      <c r="L27" s="12" t="s">
        <v>305</v>
      </c>
      <c r="M27" s="12" t="s">
        <v>49</v>
      </c>
      <c r="N27" s="12" t="s">
        <v>135</v>
      </c>
      <c r="O27" s="12" t="s">
        <v>102</v>
      </c>
      <c r="P27" s="12" t="s">
        <v>88</v>
      </c>
      <c r="Q27" s="12" t="s">
        <v>306</v>
      </c>
      <c r="R27" s="12" t="s">
        <v>213</v>
      </c>
      <c r="S27" s="13">
        <v>1.0</v>
      </c>
      <c r="T27" s="13">
        <v>1.0</v>
      </c>
      <c r="U27" s="13">
        <v>0.0</v>
      </c>
      <c r="V27" s="13">
        <v>1.0</v>
      </c>
      <c r="W27" s="13">
        <v>1.0</v>
      </c>
      <c r="X27" s="13">
        <v>1.0</v>
      </c>
      <c r="Y27" s="13">
        <v>1.0</v>
      </c>
      <c r="Z27" s="13">
        <v>6.0</v>
      </c>
      <c r="AA27" s="12" t="s">
        <v>307</v>
      </c>
      <c r="AB27" s="12">
        <v>1.0</v>
      </c>
      <c r="AC27" s="12">
        <v>2.0</v>
      </c>
      <c r="AD27" s="12">
        <v>1.0</v>
      </c>
      <c r="AE27" s="12">
        <v>1.0</v>
      </c>
      <c r="AF27" s="12">
        <v>1.0</v>
      </c>
      <c r="AG27" s="12">
        <v>2.0</v>
      </c>
      <c r="AH27" s="12">
        <v>8.0</v>
      </c>
      <c r="AI27" s="12" t="s">
        <v>308</v>
      </c>
      <c r="AJ27" s="12" t="s">
        <v>216</v>
      </c>
      <c r="AK27" s="12" t="s">
        <v>91</v>
      </c>
      <c r="AL27" s="12" t="s">
        <v>309</v>
      </c>
      <c r="AM27" s="12" t="s">
        <v>310</v>
      </c>
    </row>
    <row r="28" ht="14.25" customHeight="1">
      <c r="A28" s="13">
        <v>27.0</v>
      </c>
      <c r="B28" s="12" t="s">
        <v>311</v>
      </c>
      <c r="C28" s="12" t="s">
        <v>312</v>
      </c>
      <c r="D28" s="12" t="s">
        <v>313</v>
      </c>
      <c r="E28" s="12" t="s">
        <v>314</v>
      </c>
      <c r="F28" s="12" t="s">
        <v>315</v>
      </c>
      <c r="G28" s="13">
        <v>150.0</v>
      </c>
      <c r="H28" s="12" t="s">
        <v>100</v>
      </c>
      <c r="I28" s="12" t="s">
        <v>316</v>
      </c>
      <c r="J28" s="13" t="s">
        <v>44</v>
      </c>
      <c r="K28" s="12" t="s">
        <v>44</v>
      </c>
      <c r="L28" s="12" t="s">
        <v>317</v>
      </c>
      <c r="M28" s="12" t="s">
        <v>49</v>
      </c>
      <c r="N28" s="12" t="s">
        <v>50</v>
      </c>
      <c r="O28" s="12" t="s">
        <v>51</v>
      </c>
      <c r="P28" s="12" t="s">
        <v>53</v>
      </c>
      <c r="Q28" s="12" t="s">
        <v>234</v>
      </c>
      <c r="R28" s="12" t="s">
        <v>52</v>
      </c>
      <c r="S28" s="13">
        <v>1.0</v>
      </c>
      <c r="T28" s="13">
        <v>1.0</v>
      </c>
      <c r="U28" s="13">
        <v>0.0</v>
      </c>
      <c r="V28" s="13">
        <v>1.0</v>
      </c>
      <c r="W28" s="13">
        <v>1.0</v>
      </c>
      <c r="X28" s="13">
        <v>0.0</v>
      </c>
      <c r="Y28" s="13">
        <v>0.0</v>
      </c>
      <c r="Z28" s="13">
        <v>4.0</v>
      </c>
      <c r="AA28" s="12" t="s">
        <v>318</v>
      </c>
      <c r="AB28" s="16">
        <v>1.0</v>
      </c>
      <c r="AC28" s="16">
        <v>1.0</v>
      </c>
      <c r="AD28" s="16">
        <v>1.0</v>
      </c>
      <c r="AE28" s="16">
        <v>1.0</v>
      </c>
      <c r="AF28" s="16">
        <v>1.0</v>
      </c>
      <c r="AG28" s="16">
        <v>0.0</v>
      </c>
      <c r="AH28" s="16">
        <v>5.0</v>
      </c>
      <c r="AI28" s="16" t="s">
        <v>319</v>
      </c>
      <c r="AJ28" s="16" t="s">
        <v>92</v>
      </c>
      <c r="AK28" s="16" t="s">
        <v>80</v>
      </c>
      <c r="AL28" s="16" t="s">
        <v>58</v>
      </c>
      <c r="AM28" s="16" t="s">
        <v>320</v>
      </c>
    </row>
    <row r="29" ht="14.25" customHeight="1">
      <c r="A29" s="13">
        <v>28.0</v>
      </c>
      <c r="B29" s="12" t="s">
        <v>311</v>
      </c>
      <c r="C29" s="12" t="s">
        <v>312</v>
      </c>
      <c r="D29" s="12" t="s">
        <v>313</v>
      </c>
      <c r="E29" s="12" t="s">
        <v>321</v>
      </c>
      <c r="F29" s="12" t="s">
        <v>322</v>
      </c>
      <c r="G29" s="13" t="s">
        <v>44</v>
      </c>
      <c r="H29" s="12" t="s">
        <v>100</v>
      </c>
      <c r="I29" s="12" t="s">
        <v>323</v>
      </c>
      <c r="J29" s="13" t="s">
        <v>44</v>
      </c>
      <c r="K29" s="12" t="s">
        <v>44</v>
      </c>
      <c r="L29" s="12" t="s">
        <v>324</v>
      </c>
      <c r="M29" s="12" t="s">
        <v>50</v>
      </c>
      <c r="N29" s="12" t="s">
        <v>49</v>
      </c>
      <c r="O29" s="12" t="s">
        <v>51</v>
      </c>
      <c r="P29" s="12" t="s">
        <v>104</v>
      </c>
      <c r="Q29" s="12" t="s">
        <v>234</v>
      </c>
      <c r="R29" s="12" t="s">
        <v>77</v>
      </c>
      <c r="S29" s="13">
        <v>1.0</v>
      </c>
      <c r="T29" s="13">
        <v>0.0</v>
      </c>
      <c r="U29" s="13">
        <v>0.0</v>
      </c>
      <c r="V29" s="13">
        <v>1.0</v>
      </c>
      <c r="W29" s="13">
        <v>1.0</v>
      </c>
      <c r="X29" s="13">
        <v>0.0</v>
      </c>
      <c r="Y29" s="13">
        <v>1.0</v>
      </c>
      <c r="Z29" s="13">
        <v>4.0</v>
      </c>
      <c r="AA29" s="12" t="s">
        <v>325</v>
      </c>
      <c r="AB29" s="16">
        <v>1.0</v>
      </c>
      <c r="AC29" s="16">
        <v>2.0</v>
      </c>
      <c r="AD29" s="16">
        <v>1.0</v>
      </c>
      <c r="AE29" s="16">
        <v>2.0</v>
      </c>
      <c r="AF29" s="16">
        <v>1.0</v>
      </c>
      <c r="AG29" s="16">
        <v>2.0</v>
      </c>
      <c r="AH29" s="16">
        <v>9.0</v>
      </c>
      <c r="AI29" s="16" t="s">
        <v>326</v>
      </c>
      <c r="AJ29" s="16" t="s">
        <v>309</v>
      </c>
      <c r="AK29" s="16" t="s">
        <v>80</v>
      </c>
      <c r="AL29" s="16" t="s">
        <v>225</v>
      </c>
      <c r="AM29" s="16" t="s">
        <v>327</v>
      </c>
    </row>
    <row r="30" ht="14.25" customHeight="1">
      <c r="A30" s="13">
        <v>29.0</v>
      </c>
      <c r="B30" s="12" t="s">
        <v>311</v>
      </c>
      <c r="C30" s="12" t="s">
        <v>312</v>
      </c>
      <c r="D30" s="12" t="s">
        <v>313</v>
      </c>
      <c r="E30" s="12" t="s">
        <v>328</v>
      </c>
      <c r="F30" s="12" t="s">
        <v>329</v>
      </c>
      <c r="G30" s="13" t="s">
        <v>44</v>
      </c>
      <c r="H30" s="12" t="s">
        <v>100</v>
      </c>
      <c r="I30" s="12" t="s">
        <v>330</v>
      </c>
      <c r="J30" s="13" t="s">
        <v>44</v>
      </c>
      <c r="K30" s="12" t="s">
        <v>44</v>
      </c>
      <c r="L30" s="12" t="s">
        <v>331</v>
      </c>
      <c r="M30" s="12" t="s">
        <v>49</v>
      </c>
      <c r="N30" s="12" t="s">
        <v>50</v>
      </c>
      <c r="O30" s="12" t="s">
        <v>51</v>
      </c>
      <c r="P30" s="12" t="s">
        <v>306</v>
      </c>
      <c r="Q30" s="12" t="s">
        <v>234</v>
      </c>
      <c r="R30" s="12" t="s">
        <v>77</v>
      </c>
      <c r="S30" s="13">
        <v>1.0</v>
      </c>
      <c r="T30" s="13">
        <v>1.0</v>
      </c>
      <c r="U30" s="13">
        <v>0.0</v>
      </c>
      <c r="V30" s="13">
        <v>1.0</v>
      </c>
      <c r="W30" s="13">
        <v>1.0</v>
      </c>
      <c r="X30" s="13">
        <v>0.0</v>
      </c>
      <c r="Y30" s="13">
        <v>1.0</v>
      </c>
      <c r="Z30" s="13">
        <v>5.0</v>
      </c>
      <c r="AA30" s="12" t="s">
        <v>332</v>
      </c>
      <c r="AB30" s="16">
        <v>2.0</v>
      </c>
      <c r="AC30" s="16">
        <v>2.0</v>
      </c>
      <c r="AD30" s="16">
        <v>1.0</v>
      </c>
      <c r="AE30" s="16">
        <v>2.0</v>
      </c>
      <c r="AF30" s="16">
        <v>2.0</v>
      </c>
      <c r="AG30" s="16">
        <v>2.0</v>
      </c>
      <c r="AH30" s="16">
        <v>11.0</v>
      </c>
      <c r="AI30" s="16" t="s">
        <v>333</v>
      </c>
      <c r="AJ30" s="16" t="s">
        <v>70</v>
      </c>
      <c r="AK30" s="16" t="s">
        <v>149</v>
      </c>
      <c r="AL30" s="16" t="s">
        <v>80</v>
      </c>
      <c r="AM30" s="16" t="s">
        <v>334</v>
      </c>
    </row>
    <row r="31" ht="14.25" customHeight="1">
      <c r="A31" s="13">
        <v>30.0</v>
      </c>
      <c r="B31" s="12" t="s">
        <v>161</v>
      </c>
      <c r="C31" s="12" t="s">
        <v>335</v>
      </c>
      <c r="D31" s="12" t="s">
        <v>336</v>
      </c>
      <c r="E31" s="12" t="s">
        <v>337</v>
      </c>
      <c r="F31" s="12" t="s">
        <v>338</v>
      </c>
      <c r="G31" s="26">
        <v>3300.0</v>
      </c>
      <c r="H31" s="27" t="s">
        <v>339</v>
      </c>
      <c r="I31" s="28" t="s">
        <v>340</v>
      </c>
      <c r="J31" s="26">
        <v>13200.0</v>
      </c>
      <c r="K31" s="29" t="s">
        <v>100</v>
      </c>
      <c r="L31" s="28" t="s">
        <v>341</v>
      </c>
      <c r="M31" s="12" t="s">
        <v>65</v>
      </c>
      <c r="N31" s="12" t="s">
        <v>49</v>
      </c>
      <c r="O31" s="12" t="s">
        <v>102</v>
      </c>
      <c r="P31" s="12" t="s">
        <v>66</v>
      </c>
      <c r="Q31" s="12" t="s">
        <v>103</v>
      </c>
      <c r="R31" s="12" t="s">
        <v>88</v>
      </c>
      <c r="S31" s="13">
        <v>1.0</v>
      </c>
      <c r="T31" s="13">
        <v>1.0</v>
      </c>
      <c r="U31" s="13">
        <v>1.0</v>
      </c>
      <c r="V31" s="13">
        <v>1.0</v>
      </c>
      <c r="W31" s="13">
        <v>1.0</v>
      </c>
      <c r="X31" s="13">
        <v>1.0</v>
      </c>
      <c r="Y31" s="13">
        <v>1.0</v>
      </c>
      <c r="Z31" s="13">
        <v>7.0</v>
      </c>
      <c r="AA31" s="12" t="s">
        <v>342</v>
      </c>
      <c r="AB31" s="16">
        <v>1.0</v>
      </c>
      <c r="AC31" s="16">
        <v>2.0</v>
      </c>
      <c r="AD31" s="16">
        <v>1.0</v>
      </c>
      <c r="AE31" s="16">
        <v>2.0</v>
      </c>
      <c r="AF31" s="16">
        <v>2.0</v>
      </c>
      <c r="AG31" s="16">
        <v>2.0</v>
      </c>
      <c r="AH31" s="16">
        <v>10.0</v>
      </c>
      <c r="AI31" s="16" t="s">
        <v>343</v>
      </c>
      <c r="AJ31" s="16" t="s">
        <v>80</v>
      </c>
      <c r="AK31" s="16" t="s">
        <v>58</v>
      </c>
      <c r="AL31" s="16" t="s">
        <v>171</v>
      </c>
      <c r="AM31" s="16" t="s">
        <v>344</v>
      </c>
    </row>
    <row r="32" ht="14.25" customHeight="1">
      <c r="A32" s="13">
        <v>31.0</v>
      </c>
      <c r="B32" s="12" t="s">
        <v>161</v>
      </c>
      <c r="C32" s="12" t="s">
        <v>335</v>
      </c>
      <c r="D32" s="12" t="s">
        <v>336</v>
      </c>
      <c r="E32" s="12" t="s">
        <v>345</v>
      </c>
      <c r="F32" s="11" t="s">
        <v>346</v>
      </c>
      <c r="G32" s="27">
        <v>50.0</v>
      </c>
      <c r="H32" s="27" t="s">
        <v>100</v>
      </c>
      <c r="I32" s="30" t="s">
        <v>347</v>
      </c>
      <c r="J32" s="26">
        <v>200.0</v>
      </c>
      <c r="K32" s="26" t="s">
        <v>100</v>
      </c>
      <c r="L32" s="12" t="s">
        <v>348</v>
      </c>
      <c r="M32" s="12" t="s">
        <v>51</v>
      </c>
      <c r="N32" s="12" t="s">
        <v>49</v>
      </c>
      <c r="O32" s="12" t="s">
        <v>102</v>
      </c>
      <c r="P32" s="12" t="s">
        <v>52</v>
      </c>
      <c r="Q32" s="12" t="s">
        <v>53</v>
      </c>
      <c r="R32" s="12" t="s">
        <v>213</v>
      </c>
      <c r="S32" s="13">
        <v>1.0</v>
      </c>
      <c r="T32" s="13">
        <v>1.0</v>
      </c>
      <c r="U32" s="13">
        <v>1.0</v>
      </c>
      <c r="V32" s="13">
        <v>1.0</v>
      </c>
      <c r="W32" s="13">
        <v>1.0</v>
      </c>
      <c r="X32" s="13">
        <v>0.0</v>
      </c>
      <c r="Y32" s="13">
        <v>0.0</v>
      </c>
      <c r="Z32" s="13">
        <v>5.0</v>
      </c>
      <c r="AA32" s="12" t="s">
        <v>349</v>
      </c>
      <c r="AB32" s="16">
        <v>1.0</v>
      </c>
      <c r="AC32" s="16">
        <v>1.0</v>
      </c>
      <c r="AD32" s="16">
        <v>1.0</v>
      </c>
      <c r="AE32" s="16">
        <v>2.0</v>
      </c>
      <c r="AF32" s="16">
        <v>1.0</v>
      </c>
      <c r="AG32" s="16">
        <v>0.0</v>
      </c>
      <c r="AH32" s="16">
        <v>6.0</v>
      </c>
      <c r="AI32" s="16" t="s">
        <v>350</v>
      </c>
      <c r="AJ32" s="16" t="s">
        <v>351</v>
      </c>
      <c r="AK32" s="16" t="s">
        <v>190</v>
      </c>
      <c r="AL32" s="16" t="s">
        <v>58</v>
      </c>
      <c r="AM32" s="16" t="s">
        <v>352</v>
      </c>
    </row>
    <row r="33" ht="14.25" customHeight="1">
      <c r="A33" s="13">
        <v>32.0</v>
      </c>
      <c r="B33" s="12" t="s">
        <v>161</v>
      </c>
      <c r="C33" s="12" t="s">
        <v>335</v>
      </c>
      <c r="D33" s="12" t="s">
        <v>336</v>
      </c>
      <c r="E33" s="12" t="s">
        <v>353</v>
      </c>
      <c r="F33" s="12" t="s">
        <v>354</v>
      </c>
      <c r="G33" s="31">
        <v>80.0</v>
      </c>
      <c r="H33" s="31" t="s">
        <v>339</v>
      </c>
      <c r="I33" s="28" t="s">
        <v>355</v>
      </c>
      <c r="J33" s="26">
        <v>320.0</v>
      </c>
      <c r="K33" s="26" t="s">
        <v>100</v>
      </c>
      <c r="L33" s="12" t="s">
        <v>356</v>
      </c>
      <c r="M33" s="12" t="s">
        <v>49</v>
      </c>
      <c r="N33" s="12" t="s">
        <v>87</v>
      </c>
      <c r="O33" s="12" t="s">
        <v>51</v>
      </c>
      <c r="P33" s="12" t="s">
        <v>105</v>
      </c>
      <c r="Q33" s="12" t="s">
        <v>77</v>
      </c>
      <c r="R33" s="12" t="s">
        <v>213</v>
      </c>
      <c r="S33" s="13">
        <v>1.0</v>
      </c>
      <c r="T33" s="13">
        <v>0.0</v>
      </c>
      <c r="U33" s="13">
        <v>1.0</v>
      </c>
      <c r="V33" s="13">
        <v>1.0</v>
      </c>
      <c r="W33" s="13">
        <v>1.0</v>
      </c>
      <c r="X33" s="13">
        <v>0.0</v>
      </c>
      <c r="Y33" s="13">
        <v>0.0</v>
      </c>
      <c r="Z33" s="13">
        <v>4.0</v>
      </c>
      <c r="AA33" s="12" t="s">
        <v>357</v>
      </c>
      <c r="AB33" s="16">
        <v>1.0</v>
      </c>
      <c r="AC33" s="16">
        <v>1.0</v>
      </c>
      <c r="AD33" s="16">
        <v>1.0</v>
      </c>
      <c r="AE33" s="16">
        <v>1.0</v>
      </c>
      <c r="AF33" s="16">
        <v>1.0</v>
      </c>
      <c r="AG33" s="16">
        <v>0.0</v>
      </c>
      <c r="AH33" s="16">
        <v>5.0</v>
      </c>
      <c r="AI33" s="16" t="s">
        <v>358</v>
      </c>
      <c r="AJ33" s="16" t="s">
        <v>108</v>
      </c>
      <c r="AK33" s="16" t="s">
        <v>351</v>
      </c>
      <c r="AL33" s="16" t="s">
        <v>58</v>
      </c>
      <c r="AM33" s="16" t="s">
        <v>359</v>
      </c>
    </row>
    <row r="34" ht="14.25" customHeight="1">
      <c r="A34" s="13">
        <v>33.0</v>
      </c>
      <c r="B34" s="12" t="s">
        <v>161</v>
      </c>
      <c r="C34" s="12" t="s">
        <v>335</v>
      </c>
      <c r="D34" s="12" t="s">
        <v>336</v>
      </c>
      <c r="E34" s="12" t="s">
        <v>360</v>
      </c>
      <c r="F34" s="12" t="s">
        <v>361</v>
      </c>
      <c r="G34" s="27">
        <v>21.0</v>
      </c>
      <c r="H34" s="27" t="s">
        <v>362</v>
      </c>
      <c r="I34" s="12" t="s">
        <v>363</v>
      </c>
      <c r="J34" s="26">
        <v>147.0</v>
      </c>
      <c r="K34" s="26" t="s">
        <v>100</v>
      </c>
      <c r="L34" s="11" t="s">
        <v>364</v>
      </c>
      <c r="M34" s="12" t="s">
        <v>65</v>
      </c>
      <c r="N34" s="12" t="s">
        <v>49</v>
      </c>
      <c r="O34" s="12" t="s">
        <v>51</v>
      </c>
      <c r="P34" s="12" t="s">
        <v>77</v>
      </c>
      <c r="Q34" s="12" t="s">
        <v>88</v>
      </c>
      <c r="R34" s="12" t="s">
        <v>213</v>
      </c>
      <c r="S34" s="13">
        <v>1.0</v>
      </c>
      <c r="T34" s="13">
        <v>1.0</v>
      </c>
      <c r="U34" s="13">
        <v>1.0</v>
      </c>
      <c r="V34" s="13">
        <v>1.0</v>
      </c>
      <c r="W34" s="13">
        <v>1.0</v>
      </c>
      <c r="X34" s="13">
        <v>1.0</v>
      </c>
      <c r="Y34" s="13">
        <v>1.0</v>
      </c>
      <c r="Z34" s="13">
        <v>7.0</v>
      </c>
      <c r="AA34" s="12" t="s">
        <v>365</v>
      </c>
      <c r="AB34" s="16">
        <v>2.0</v>
      </c>
      <c r="AC34" s="16">
        <v>2.0</v>
      </c>
      <c r="AD34" s="16">
        <v>1.0</v>
      </c>
      <c r="AE34" s="16">
        <v>2.0</v>
      </c>
      <c r="AF34" s="16">
        <v>2.0</v>
      </c>
      <c r="AG34" s="16">
        <v>2.0</v>
      </c>
      <c r="AH34" s="16">
        <v>11.0</v>
      </c>
      <c r="AI34" s="16" t="s">
        <v>366</v>
      </c>
      <c r="AJ34" s="16" t="s">
        <v>91</v>
      </c>
      <c r="AK34" s="16" t="s">
        <v>351</v>
      </c>
      <c r="AL34" s="16" t="s">
        <v>58</v>
      </c>
      <c r="AM34" s="16" t="s">
        <v>367</v>
      </c>
    </row>
    <row r="35" ht="14.25" customHeight="1">
      <c r="A35" s="13">
        <v>34.0</v>
      </c>
      <c r="B35" s="12" t="s">
        <v>368</v>
      </c>
      <c r="C35" s="12" t="s">
        <v>369</v>
      </c>
      <c r="D35" s="12" t="s">
        <v>370</v>
      </c>
      <c r="E35" s="12" t="s">
        <v>371</v>
      </c>
      <c r="F35" s="12" t="s">
        <v>372</v>
      </c>
      <c r="G35" s="13">
        <v>250.0</v>
      </c>
      <c r="H35" s="12" t="s">
        <v>339</v>
      </c>
      <c r="I35" s="12" t="s">
        <v>373</v>
      </c>
      <c r="J35" s="13" t="s">
        <v>44</v>
      </c>
      <c r="K35" s="12" t="s">
        <v>374</v>
      </c>
      <c r="L35" s="12" t="s">
        <v>375</v>
      </c>
      <c r="M35" s="12" t="s">
        <v>49</v>
      </c>
      <c r="N35" s="12" t="s">
        <v>87</v>
      </c>
      <c r="O35" s="12" t="s">
        <v>51</v>
      </c>
      <c r="P35" s="12" t="s">
        <v>66</v>
      </c>
      <c r="Q35" s="12" t="s">
        <v>53</v>
      </c>
      <c r="R35" s="12" t="s">
        <v>52</v>
      </c>
      <c r="S35" s="13">
        <v>1.0</v>
      </c>
      <c r="T35" s="13">
        <v>1.0</v>
      </c>
      <c r="U35" s="13">
        <v>1.0</v>
      </c>
      <c r="V35" s="13">
        <v>1.0</v>
      </c>
      <c r="W35" s="13">
        <v>1.0</v>
      </c>
      <c r="X35" s="13">
        <v>0.0</v>
      </c>
      <c r="Y35" s="13">
        <v>1.0</v>
      </c>
      <c r="Z35" s="13">
        <v>6.0</v>
      </c>
      <c r="AA35" s="12" t="s">
        <v>376</v>
      </c>
      <c r="AB35" s="16">
        <v>1.0</v>
      </c>
      <c r="AC35" s="16">
        <v>1.0</v>
      </c>
      <c r="AD35" s="16">
        <v>1.0</v>
      </c>
      <c r="AE35" s="16">
        <v>1.0</v>
      </c>
      <c r="AF35" s="16">
        <v>1.0</v>
      </c>
      <c r="AG35" s="16">
        <v>1.0</v>
      </c>
      <c r="AH35" s="16">
        <v>6.0</v>
      </c>
      <c r="AI35" s="16" t="s">
        <v>377</v>
      </c>
      <c r="AJ35" s="16" t="s">
        <v>190</v>
      </c>
      <c r="AK35" s="16" t="s">
        <v>80</v>
      </c>
      <c r="AL35" s="16" t="s">
        <v>58</v>
      </c>
      <c r="AM35" s="16" t="s">
        <v>378</v>
      </c>
    </row>
    <row r="36" ht="14.25" customHeight="1">
      <c r="A36" s="13">
        <v>35.0</v>
      </c>
      <c r="B36" s="12" t="s">
        <v>368</v>
      </c>
      <c r="C36" s="12" t="s">
        <v>369</v>
      </c>
      <c r="D36" s="12" t="s">
        <v>370</v>
      </c>
      <c r="E36" s="12" t="s">
        <v>379</v>
      </c>
      <c r="F36" s="12" t="s">
        <v>380</v>
      </c>
      <c r="G36" s="13">
        <v>150.0</v>
      </c>
      <c r="H36" s="12" t="s">
        <v>339</v>
      </c>
      <c r="I36" s="12" t="s">
        <v>381</v>
      </c>
      <c r="J36" s="13" t="s">
        <v>44</v>
      </c>
      <c r="K36" s="12" t="s">
        <v>374</v>
      </c>
      <c r="L36" s="12" t="s">
        <v>382</v>
      </c>
      <c r="M36" s="12" t="s">
        <v>49</v>
      </c>
      <c r="N36" s="12" t="s">
        <v>87</v>
      </c>
      <c r="O36" s="12" t="s">
        <v>102</v>
      </c>
      <c r="P36" s="12" t="s">
        <v>53</v>
      </c>
      <c r="Q36" s="12" t="s">
        <v>66</v>
      </c>
      <c r="R36" s="12" t="s">
        <v>52</v>
      </c>
      <c r="S36" s="13">
        <v>1.0</v>
      </c>
      <c r="T36" s="13">
        <v>1.0</v>
      </c>
      <c r="U36" s="13">
        <v>1.0</v>
      </c>
      <c r="V36" s="13">
        <v>1.0</v>
      </c>
      <c r="W36" s="13">
        <v>1.0</v>
      </c>
      <c r="X36" s="13">
        <v>0.0</v>
      </c>
      <c r="Y36" s="13">
        <v>1.0</v>
      </c>
      <c r="Z36" s="13">
        <v>6.0</v>
      </c>
      <c r="AA36" s="12" t="s">
        <v>383</v>
      </c>
      <c r="AB36" s="16">
        <v>1.0</v>
      </c>
      <c r="AC36" s="16">
        <v>1.0</v>
      </c>
      <c r="AD36" s="16">
        <v>1.0</v>
      </c>
      <c r="AE36" s="16">
        <v>1.0</v>
      </c>
      <c r="AF36" s="16">
        <v>1.0</v>
      </c>
      <c r="AG36" s="16">
        <v>1.0</v>
      </c>
      <c r="AH36" s="16">
        <v>6.0</v>
      </c>
      <c r="AI36" s="16" t="s">
        <v>384</v>
      </c>
      <c r="AJ36" s="16" t="s">
        <v>80</v>
      </c>
      <c r="AK36" s="16" t="s">
        <v>91</v>
      </c>
      <c r="AL36" s="16" t="s">
        <v>58</v>
      </c>
      <c r="AM36" s="16" t="s">
        <v>385</v>
      </c>
    </row>
    <row r="37" ht="14.25" customHeight="1">
      <c r="A37" s="13">
        <v>36.0</v>
      </c>
      <c r="B37" s="12" t="s">
        <v>368</v>
      </c>
      <c r="C37" s="12" t="s">
        <v>386</v>
      </c>
      <c r="D37" s="12" t="s">
        <v>387</v>
      </c>
      <c r="E37" s="12" t="s">
        <v>388</v>
      </c>
      <c r="F37" s="12" t="s">
        <v>389</v>
      </c>
      <c r="G37" s="13">
        <v>200.0</v>
      </c>
      <c r="H37" s="12" t="s">
        <v>339</v>
      </c>
      <c r="I37" s="12" t="s">
        <v>44</v>
      </c>
      <c r="J37" s="13" t="s">
        <v>44</v>
      </c>
      <c r="K37" s="12" t="s">
        <v>390</v>
      </c>
      <c r="L37" s="12" t="s">
        <v>391</v>
      </c>
      <c r="M37" s="12" t="s">
        <v>49</v>
      </c>
      <c r="N37" s="12" t="s">
        <v>87</v>
      </c>
      <c r="O37" s="12" t="s">
        <v>51</v>
      </c>
      <c r="P37" s="12" t="s">
        <v>103</v>
      </c>
      <c r="Q37" s="12" t="s">
        <v>53</v>
      </c>
      <c r="R37" s="12" t="s">
        <v>88</v>
      </c>
      <c r="S37" s="13">
        <v>1.0</v>
      </c>
      <c r="T37" s="13">
        <v>1.0</v>
      </c>
      <c r="U37" s="13">
        <v>1.0</v>
      </c>
      <c r="V37" s="13">
        <v>1.0</v>
      </c>
      <c r="W37" s="13">
        <v>1.0</v>
      </c>
      <c r="X37" s="13">
        <v>1.0</v>
      </c>
      <c r="Y37" s="13">
        <v>0.0</v>
      </c>
      <c r="Z37" s="13">
        <v>6.0</v>
      </c>
      <c r="AA37" s="12" t="s">
        <v>392</v>
      </c>
      <c r="AB37" s="16">
        <v>1.0</v>
      </c>
      <c r="AC37" s="16">
        <v>1.0</v>
      </c>
      <c r="AD37" s="16">
        <v>1.0</v>
      </c>
      <c r="AE37" s="16">
        <v>1.0</v>
      </c>
      <c r="AF37" s="16">
        <v>1.0</v>
      </c>
      <c r="AG37" s="16">
        <v>1.0</v>
      </c>
      <c r="AH37" s="16">
        <v>6.0</v>
      </c>
      <c r="AI37" s="16" t="s">
        <v>393</v>
      </c>
      <c r="AJ37" s="16" t="s">
        <v>80</v>
      </c>
      <c r="AK37" s="16" t="s">
        <v>58</v>
      </c>
      <c r="AL37" s="16" t="s">
        <v>394</v>
      </c>
      <c r="AM37" s="16" t="s">
        <v>395</v>
      </c>
    </row>
    <row r="38" ht="14.25" customHeight="1">
      <c r="A38" s="13">
        <v>37.0</v>
      </c>
      <c r="B38" s="12" t="s">
        <v>368</v>
      </c>
      <c r="C38" s="12" t="s">
        <v>386</v>
      </c>
      <c r="D38" s="12" t="s">
        <v>387</v>
      </c>
      <c r="E38" s="12" t="s">
        <v>396</v>
      </c>
      <c r="F38" s="12" t="s">
        <v>397</v>
      </c>
      <c r="G38" s="13" t="s">
        <v>44</v>
      </c>
      <c r="H38" s="12" t="s">
        <v>339</v>
      </c>
      <c r="I38" s="12" t="s">
        <v>44</v>
      </c>
      <c r="J38" s="13" t="s">
        <v>44</v>
      </c>
      <c r="K38" s="12" t="s">
        <v>390</v>
      </c>
      <c r="L38" s="12" t="s">
        <v>398</v>
      </c>
      <c r="M38" s="12" t="s">
        <v>49</v>
      </c>
      <c r="N38" s="12" t="s">
        <v>87</v>
      </c>
      <c r="O38" s="12" t="s">
        <v>44</v>
      </c>
      <c r="P38" s="12" t="s">
        <v>399</v>
      </c>
      <c r="Q38" s="12" t="s">
        <v>53</v>
      </c>
      <c r="R38" s="12" t="s">
        <v>44</v>
      </c>
      <c r="S38" s="13">
        <v>1.0</v>
      </c>
      <c r="T38" s="13">
        <v>1.0</v>
      </c>
      <c r="U38" s="13">
        <v>1.0</v>
      </c>
      <c r="V38" s="13">
        <v>1.0</v>
      </c>
      <c r="W38" s="13">
        <v>0.0</v>
      </c>
      <c r="X38" s="13">
        <v>0.0</v>
      </c>
      <c r="Y38" s="13">
        <v>0.0</v>
      </c>
      <c r="Z38" s="13">
        <v>4.0</v>
      </c>
      <c r="AA38" s="12" t="s">
        <v>400</v>
      </c>
      <c r="AB38" s="16">
        <v>1.0</v>
      </c>
      <c r="AC38" s="16">
        <v>1.0</v>
      </c>
      <c r="AD38" s="16">
        <v>1.0</v>
      </c>
      <c r="AE38" s="16">
        <v>1.0</v>
      </c>
      <c r="AF38" s="16">
        <v>1.0</v>
      </c>
      <c r="AG38" s="16">
        <v>0.0</v>
      </c>
      <c r="AH38" s="16">
        <v>5.0</v>
      </c>
      <c r="AI38" s="16" t="s">
        <v>401</v>
      </c>
      <c r="AJ38" s="16" t="s">
        <v>70</v>
      </c>
      <c r="AK38" s="16" t="s">
        <v>81</v>
      </c>
      <c r="AL38" s="16" t="s">
        <v>58</v>
      </c>
      <c r="AM38" s="16" t="s">
        <v>402</v>
      </c>
    </row>
    <row r="39" ht="14.25" customHeight="1">
      <c r="A39" s="13">
        <v>38.0</v>
      </c>
      <c r="B39" s="12" t="s">
        <v>368</v>
      </c>
      <c r="C39" s="12" t="s">
        <v>386</v>
      </c>
      <c r="D39" s="12" t="s">
        <v>387</v>
      </c>
      <c r="E39" s="12" t="s">
        <v>403</v>
      </c>
      <c r="F39" s="12" t="s">
        <v>404</v>
      </c>
      <c r="G39" s="13" t="s">
        <v>44</v>
      </c>
      <c r="H39" s="12" t="s">
        <v>339</v>
      </c>
      <c r="I39" s="12" t="s">
        <v>44</v>
      </c>
      <c r="J39" s="13" t="s">
        <v>44</v>
      </c>
      <c r="K39" s="12" t="s">
        <v>390</v>
      </c>
      <c r="L39" s="12" t="s">
        <v>405</v>
      </c>
      <c r="M39" s="12" t="s">
        <v>49</v>
      </c>
      <c r="N39" s="12" t="s">
        <v>51</v>
      </c>
      <c r="O39" s="12" t="s">
        <v>257</v>
      </c>
      <c r="P39" s="12" t="s">
        <v>53</v>
      </c>
      <c r="Q39" s="12" t="s">
        <v>44</v>
      </c>
      <c r="R39" s="12" t="s">
        <v>44</v>
      </c>
      <c r="S39" s="13">
        <v>1.0</v>
      </c>
      <c r="T39" s="13">
        <v>1.0</v>
      </c>
      <c r="U39" s="13">
        <v>1.0</v>
      </c>
      <c r="V39" s="13">
        <v>1.0</v>
      </c>
      <c r="W39" s="13">
        <v>0.0</v>
      </c>
      <c r="X39" s="13">
        <v>1.0</v>
      </c>
      <c r="Y39" s="13">
        <v>0.0</v>
      </c>
      <c r="Z39" s="13">
        <v>5.0</v>
      </c>
      <c r="AA39" s="12" t="s">
        <v>406</v>
      </c>
      <c r="AB39" s="16">
        <v>1.0</v>
      </c>
      <c r="AC39" s="16">
        <v>1.0</v>
      </c>
      <c r="AD39" s="16">
        <v>1.0</v>
      </c>
      <c r="AE39" s="16">
        <v>1.0</v>
      </c>
      <c r="AF39" s="16">
        <v>1.0</v>
      </c>
      <c r="AG39" s="16">
        <v>0.0</v>
      </c>
      <c r="AH39" s="16">
        <v>5.0</v>
      </c>
      <c r="AI39" s="16" t="s">
        <v>407</v>
      </c>
      <c r="AJ39" s="16" t="s">
        <v>58</v>
      </c>
      <c r="AK39" s="16" t="s">
        <v>70</v>
      </c>
      <c r="AL39" s="16" t="s">
        <v>80</v>
      </c>
      <c r="AM39" s="16" t="s">
        <v>408</v>
      </c>
    </row>
    <row r="40" ht="14.25" customHeight="1">
      <c r="A40" s="13">
        <v>39.0</v>
      </c>
      <c r="B40" s="12" t="s">
        <v>368</v>
      </c>
      <c r="C40" s="12" t="s">
        <v>386</v>
      </c>
      <c r="D40" s="12" t="s">
        <v>387</v>
      </c>
      <c r="E40" s="12" t="s">
        <v>409</v>
      </c>
      <c r="F40" s="12" t="s">
        <v>410</v>
      </c>
      <c r="G40" s="13" t="s">
        <v>44</v>
      </c>
      <c r="H40" s="12" t="s">
        <v>339</v>
      </c>
      <c r="I40" s="12" t="s">
        <v>44</v>
      </c>
      <c r="J40" s="13" t="s">
        <v>44</v>
      </c>
      <c r="K40" s="12" t="s">
        <v>390</v>
      </c>
      <c r="L40" s="12" t="s">
        <v>411</v>
      </c>
      <c r="M40" s="12" t="s">
        <v>49</v>
      </c>
      <c r="N40" s="12" t="s">
        <v>87</v>
      </c>
      <c r="O40" s="12" t="s">
        <v>44</v>
      </c>
      <c r="P40" s="12" t="s">
        <v>44</v>
      </c>
      <c r="Q40" s="12" t="s">
        <v>44</v>
      </c>
      <c r="R40" s="12" t="s">
        <v>44</v>
      </c>
      <c r="S40" s="13">
        <v>1.0</v>
      </c>
      <c r="T40" s="13">
        <v>1.0</v>
      </c>
      <c r="U40" s="13">
        <v>1.0</v>
      </c>
      <c r="V40" s="13">
        <v>1.0</v>
      </c>
      <c r="W40" s="13">
        <v>0.0</v>
      </c>
      <c r="X40" s="13">
        <v>0.0</v>
      </c>
      <c r="Y40" s="13">
        <v>0.0</v>
      </c>
      <c r="Z40" s="13">
        <v>4.0</v>
      </c>
      <c r="AA40" s="12" t="s">
        <v>412</v>
      </c>
      <c r="AB40" s="16">
        <v>1.0</v>
      </c>
      <c r="AC40" s="16">
        <v>1.0</v>
      </c>
      <c r="AD40" s="16">
        <v>1.0</v>
      </c>
      <c r="AE40" s="16">
        <v>1.0</v>
      </c>
      <c r="AF40" s="16">
        <v>0.0</v>
      </c>
      <c r="AG40" s="16">
        <v>0.0</v>
      </c>
      <c r="AH40" s="16">
        <v>4.0</v>
      </c>
      <c r="AI40" s="16" t="s">
        <v>413</v>
      </c>
      <c r="AJ40" s="16" t="s">
        <v>70</v>
      </c>
      <c r="AK40" s="16" t="s">
        <v>108</v>
      </c>
      <c r="AL40" s="16" t="s">
        <v>80</v>
      </c>
      <c r="AM40" s="16" t="s">
        <v>414</v>
      </c>
    </row>
    <row r="41" ht="14.25" customHeight="1">
      <c r="A41" s="13">
        <v>40.0</v>
      </c>
      <c r="B41" s="12" t="s">
        <v>368</v>
      </c>
      <c r="C41" s="12" t="s">
        <v>386</v>
      </c>
      <c r="D41" s="12" t="s">
        <v>387</v>
      </c>
      <c r="E41" s="12" t="s">
        <v>415</v>
      </c>
      <c r="F41" s="12" t="s">
        <v>416</v>
      </c>
      <c r="G41" s="13" t="s">
        <v>44</v>
      </c>
      <c r="H41" s="12" t="s">
        <v>339</v>
      </c>
      <c r="I41" s="12" t="s">
        <v>44</v>
      </c>
      <c r="J41" s="13" t="s">
        <v>44</v>
      </c>
      <c r="K41" s="12" t="s">
        <v>390</v>
      </c>
      <c r="L41" s="12" t="s">
        <v>417</v>
      </c>
      <c r="M41" s="12" t="s">
        <v>49</v>
      </c>
      <c r="N41" s="12" t="s">
        <v>51</v>
      </c>
      <c r="O41" s="12" t="s">
        <v>257</v>
      </c>
      <c r="P41" s="12" t="s">
        <v>77</v>
      </c>
      <c r="Q41" s="12" t="s">
        <v>213</v>
      </c>
      <c r="R41" s="12" t="s">
        <v>103</v>
      </c>
      <c r="S41" s="13">
        <v>1.0</v>
      </c>
      <c r="T41" s="13">
        <v>1.0</v>
      </c>
      <c r="U41" s="13">
        <v>0.0</v>
      </c>
      <c r="V41" s="13">
        <v>0.0</v>
      </c>
      <c r="W41" s="13">
        <v>1.0</v>
      </c>
      <c r="X41" s="13">
        <v>0.0</v>
      </c>
      <c r="Y41" s="13">
        <v>1.0</v>
      </c>
      <c r="Z41" s="13">
        <v>4.0</v>
      </c>
      <c r="AA41" s="12" t="s">
        <v>418</v>
      </c>
      <c r="AB41" s="16">
        <v>1.0</v>
      </c>
      <c r="AC41" s="16">
        <v>1.0</v>
      </c>
      <c r="AD41" s="16">
        <v>1.0</v>
      </c>
      <c r="AE41" s="16">
        <v>1.0</v>
      </c>
      <c r="AF41" s="16">
        <v>1.0</v>
      </c>
      <c r="AG41" s="16">
        <v>1.0</v>
      </c>
      <c r="AH41" s="16">
        <v>6.0</v>
      </c>
      <c r="AI41" s="16" t="s">
        <v>419</v>
      </c>
      <c r="AJ41" s="16" t="s">
        <v>420</v>
      </c>
      <c r="AK41" s="16" t="s">
        <v>80</v>
      </c>
      <c r="AL41" s="16" t="s">
        <v>58</v>
      </c>
      <c r="AM41" s="16" t="s">
        <v>421</v>
      </c>
    </row>
    <row r="42" ht="14.25" customHeight="1">
      <c r="A42" s="13">
        <v>41.0</v>
      </c>
      <c r="B42" s="12" t="s">
        <v>368</v>
      </c>
      <c r="C42" s="12" t="s">
        <v>386</v>
      </c>
      <c r="D42" s="12" t="s">
        <v>387</v>
      </c>
      <c r="E42" s="12" t="s">
        <v>422</v>
      </c>
      <c r="F42" s="12" t="s">
        <v>423</v>
      </c>
      <c r="G42" s="13" t="s">
        <v>44</v>
      </c>
      <c r="H42" s="12" t="s">
        <v>339</v>
      </c>
      <c r="I42" s="12" t="s">
        <v>44</v>
      </c>
      <c r="J42" s="13" t="s">
        <v>44</v>
      </c>
      <c r="K42" s="12" t="s">
        <v>390</v>
      </c>
      <c r="L42" s="12" t="s">
        <v>424</v>
      </c>
      <c r="M42" s="12" t="s">
        <v>51</v>
      </c>
      <c r="N42" s="12" t="s">
        <v>135</v>
      </c>
      <c r="O42" s="12" t="s">
        <v>44</v>
      </c>
      <c r="P42" s="12" t="s">
        <v>103</v>
      </c>
      <c r="Q42" s="12" t="s">
        <v>44</v>
      </c>
      <c r="R42" s="12" t="s">
        <v>44</v>
      </c>
      <c r="S42" s="13">
        <v>1.0</v>
      </c>
      <c r="T42" s="13">
        <v>1.0</v>
      </c>
      <c r="U42" s="13">
        <v>0.0</v>
      </c>
      <c r="V42" s="13">
        <v>0.0</v>
      </c>
      <c r="W42" s="13">
        <v>1.0</v>
      </c>
      <c r="X42" s="13">
        <v>1.0</v>
      </c>
      <c r="Y42" s="13">
        <v>1.0</v>
      </c>
      <c r="Z42" s="13">
        <v>5.0</v>
      </c>
      <c r="AA42" s="12" t="s">
        <v>425</v>
      </c>
      <c r="AB42" s="16">
        <v>1.0</v>
      </c>
      <c r="AC42" s="16">
        <v>1.0</v>
      </c>
      <c r="AD42" s="16">
        <v>1.0</v>
      </c>
      <c r="AE42" s="16">
        <v>1.0</v>
      </c>
      <c r="AF42" s="16">
        <v>1.0</v>
      </c>
      <c r="AG42" s="16">
        <v>1.0</v>
      </c>
      <c r="AH42" s="16">
        <v>6.0</v>
      </c>
      <c r="AI42" s="16" t="s">
        <v>426</v>
      </c>
      <c r="AJ42" s="16" t="s">
        <v>108</v>
      </c>
      <c r="AK42" s="16" t="s">
        <v>80</v>
      </c>
      <c r="AL42" s="16" t="s">
        <v>58</v>
      </c>
      <c r="AM42" s="16" t="s">
        <v>427</v>
      </c>
    </row>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1"/>
    <pageSetUpPr/>
  </sheetPr>
  <sheetViews>
    <sheetView workbookViewId="0"/>
  </sheetViews>
  <sheetFormatPr customHeight="1" defaultColWidth="12.63" defaultRowHeight="15.0"/>
  <cols>
    <col customWidth="1" min="1" max="1" width="10.63"/>
    <col customWidth="1" min="2" max="2" width="13.13"/>
    <col customWidth="1" min="3" max="4" width="17.63"/>
    <col customWidth="1" min="5" max="5" width="14.25"/>
    <col customWidth="1" min="6" max="6" width="23.0"/>
    <col customWidth="1" min="7" max="8" width="10.63"/>
    <col customWidth="1" min="9" max="9" width="16.75"/>
    <col customWidth="1" min="10" max="12" width="10.63"/>
    <col customWidth="1" min="13" max="13" width="17.13"/>
    <col customWidth="1" min="14" max="14" width="14.88"/>
    <col customWidth="1" min="15" max="15" width="22.13"/>
    <col customWidth="1" min="16" max="26" width="10.63"/>
  </cols>
  <sheetData>
    <row r="1" ht="14.25" customHeight="1">
      <c r="M1" s="32"/>
    </row>
    <row r="2" ht="14.25" customHeight="1">
      <c r="B2" s="33" t="s">
        <v>428</v>
      </c>
      <c r="M2" s="32"/>
    </row>
    <row r="3" ht="14.25" customHeight="1">
      <c r="M3" s="32"/>
    </row>
    <row r="4" ht="14.25" customHeight="1">
      <c r="B4" s="34" t="s">
        <v>429</v>
      </c>
      <c r="M4" s="32"/>
    </row>
    <row r="5" ht="14.25" customHeight="1">
      <c r="B5" s="35" t="s">
        <v>430</v>
      </c>
      <c r="M5" s="32"/>
    </row>
    <row r="6" ht="14.25" customHeight="1">
      <c r="B6" s="35" t="s">
        <v>431</v>
      </c>
      <c r="M6" s="32"/>
    </row>
    <row r="7" ht="14.25" customHeight="1">
      <c r="B7" s="35" t="s">
        <v>432</v>
      </c>
      <c r="M7" s="32"/>
    </row>
    <row r="8" ht="14.25" customHeight="1">
      <c r="B8" s="35" t="s">
        <v>433</v>
      </c>
      <c r="M8" s="32"/>
    </row>
    <row r="9" ht="14.25" customHeight="1">
      <c r="B9" s="35" t="s">
        <v>434</v>
      </c>
      <c r="M9" s="32"/>
    </row>
    <row r="10" ht="14.25" customHeight="1">
      <c r="M10" s="32"/>
    </row>
    <row r="11" ht="14.25" customHeight="1">
      <c r="B11" s="34" t="s">
        <v>435</v>
      </c>
      <c r="M11" s="32"/>
    </row>
    <row r="12" ht="14.25" customHeight="1">
      <c r="A12" s="35"/>
      <c r="B12" s="36" t="s">
        <v>436</v>
      </c>
      <c r="C12" s="36" t="s">
        <v>437</v>
      </c>
      <c r="D12" s="36" t="s">
        <v>438</v>
      </c>
      <c r="E12" s="36" t="s">
        <v>439</v>
      </c>
      <c r="F12" s="36" t="s">
        <v>440</v>
      </c>
      <c r="G12" s="36" t="s">
        <v>441</v>
      </c>
      <c r="H12" s="36" t="s">
        <v>442</v>
      </c>
      <c r="I12" s="36" t="s">
        <v>443</v>
      </c>
      <c r="J12" s="36" t="s">
        <v>444</v>
      </c>
      <c r="K12" s="36" t="s">
        <v>445</v>
      </c>
      <c r="L12" s="36" t="s">
        <v>446</v>
      </c>
      <c r="M12" s="37" t="s">
        <v>447</v>
      </c>
      <c r="N12" s="36" t="s">
        <v>448</v>
      </c>
      <c r="O12" s="36" t="s">
        <v>449</v>
      </c>
      <c r="P12" s="35"/>
      <c r="Q12" s="35"/>
      <c r="R12" s="35"/>
      <c r="S12" s="35"/>
      <c r="T12" s="35"/>
      <c r="U12" s="35"/>
      <c r="V12" s="35"/>
      <c r="W12" s="35"/>
      <c r="X12" s="35"/>
      <c r="Y12" s="35"/>
      <c r="Z12" s="35"/>
    </row>
    <row r="13" ht="14.25" customHeight="1">
      <c r="B13" s="14" t="s">
        <v>450</v>
      </c>
      <c r="C13" s="14" t="s">
        <v>0</v>
      </c>
      <c r="D13" s="14" t="s">
        <v>451</v>
      </c>
      <c r="E13" s="14" t="s">
        <v>452</v>
      </c>
      <c r="F13" s="14" t="s">
        <v>453</v>
      </c>
      <c r="G13" s="14">
        <v>1.0</v>
      </c>
      <c r="H13" s="14" t="s">
        <v>454</v>
      </c>
      <c r="I13" s="14" t="s">
        <v>455</v>
      </c>
      <c r="J13" s="14" t="s">
        <v>456</v>
      </c>
      <c r="K13" s="14" t="s">
        <v>456</v>
      </c>
      <c r="L13" s="14" t="s">
        <v>456</v>
      </c>
      <c r="M13" s="38" t="s">
        <v>457</v>
      </c>
      <c r="N13" s="14" t="s">
        <v>458</v>
      </c>
      <c r="O13" s="14" t="s">
        <v>459</v>
      </c>
    </row>
    <row r="14" ht="14.25" customHeight="1">
      <c r="B14" s="14" t="s">
        <v>460</v>
      </c>
      <c r="C14" s="14" t="s">
        <v>1</v>
      </c>
      <c r="D14" s="14" t="s">
        <v>461</v>
      </c>
      <c r="E14" s="14" t="s">
        <v>462</v>
      </c>
      <c r="F14" s="14" t="s">
        <v>463</v>
      </c>
      <c r="G14" s="14" t="s">
        <v>39</v>
      </c>
      <c r="H14" s="14"/>
      <c r="I14" s="14" t="s">
        <v>464</v>
      </c>
      <c r="J14" s="14" t="s">
        <v>456</v>
      </c>
      <c r="K14" s="14" t="s">
        <v>456</v>
      </c>
      <c r="L14" s="14" t="s">
        <v>456</v>
      </c>
      <c r="M14" s="38" t="s">
        <v>465</v>
      </c>
      <c r="N14" s="14" t="s">
        <v>466</v>
      </c>
      <c r="O14" s="14" t="s">
        <v>467</v>
      </c>
    </row>
    <row r="15" ht="14.25" customHeight="1">
      <c r="B15" s="14" t="s">
        <v>468</v>
      </c>
      <c r="C15" s="14" t="s">
        <v>2</v>
      </c>
      <c r="D15" s="14" t="s">
        <v>469</v>
      </c>
      <c r="E15" s="14" t="s">
        <v>470</v>
      </c>
      <c r="F15" s="14" t="s">
        <v>471</v>
      </c>
      <c r="G15" s="14" t="s">
        <v>95</v>
      </c>
      <c r="H15" s="14"/>
      <c r="I15" s="14" t="s">
        <v>472</v>
      </c>
      <c r="J15" s="14" t="s">
        <v>456</v>
      </c>
      <c r="K15" s="14" t="s">
        <v>456</v>
      </c>
      <c r="L15" s="14" t="s">
        <v>456</v>
      </c>
      <c r="M15" s="38" t="s">
        <v>473</v>
      </c>
      <c r="N15" s="14" t="s">
        <v>474</v>
      </c>
      <c r="O15" s="14" t="s">
        <v>475</v>
      </c>
    </row>
    <row r="16" ht="14.25" customHeight="1">
      <c r="B16" s="14" t="s">
        <v>476</v>
      </c>
      <c r="C16" s="14" t="s">
        <v>3</v>
      </c>
      <c r="D16" s="14" t="s">
        <v>477</v>
      </c>
      <c r="E16" s="14" t="s">
        <v>462</v>
      </c>
      <c r="F16" s="14" t="s">
        <v>478</v>
      </c>
      <c r="G16" s="14" t="s">
        <v>41</v>
      </c>
      <c r="H16" s="14" t="s">
        <v>479</v>
      </c>
      <c r="I16" s="14" t="s">
        <v>480</v>
      </c>
      <c r="J16" s="14" t="s">
        <v>456</v>
      </c>
      <c r="K16" s="14" t="s">
        <v>456</v>
      </c>
      <c r="L16" s="14" t="s">
        <v>456</v>
      </c>
      <c r="M16" s="38" t="s">
        <v>481</v>
      </c>
      <c r="N16" s="14" t="s">
        <v>482</v>
      </c>
      <c r="O16" s="14" t="s">
        <v>483</v>
      </c>
    </row>
    <row r="17" ht="14.25" customHeight="1">
      <c r="B17" s="14" t="s">
        <v>484</v>
      </c>
      <c r="C17" s="14" t="s">
        <v>485</v>
      </c>
      <c r="D17" s="14" t="s">
        <v>486</v>
      </c>
      <c r="E17" s="14" t="s">
        <v>470</v>
      </c>
      <c r="F17" s="14" t="s">
        <v>487</v>
      </c>
      <c r="G17" s="14" t="s">
        <v>488</v>
      </c>
      <c r="H17" s="14"/>
      <c r="I17" s="14" t="s">
        <v>489</v>
      </c>
      <c r="J17" s="14" t="s">
        <v>456</v>
      </c>
      <c r="K17" s="14" t="s">
        <v>456</v>
      </c>
      <c r="L17" s="14" t="s">
        <v>456</v>
      </c>
      <c r="M17" s="38" t="s">
        <v>490</v>
      </c>
      <c r="N17" s="14" t="s">
        <v>491</v>
      </c>
      <c r="O17" s="14" t="s">
        <v>492</v>
      </c>
    </row>
    <row r="18" ht="14.25" customHeight="1">
      <c r="B18" s="14" t="s">
        <v>493</v>
      </c>
      <c r="C18" s="14" t="s">
        <v>494</v>
      </c>
      <c r="D18" s="14" t="s">
        <v>495</v>
      </c>
      <c r="E18" s="14" t="s">
        <v>470</v>
      </c>
      <c r="F18" s="14" t="s">
        <v>496</v>
      </c>
      <c r="G18" s="14" t="s">
        <v>497</v>
      </c>
      <c r="H18" s="14" t="s">
        <v>498</v>
      </c>
      <c r="I18" s="14" t="s">
        <v>499</v>
      </c>
      <c r="J18" s="14" t="s">
        <v>456</v>
      </c>
      <c r="K18" s="14" t="s">
        <v>456</v>
      </c>
      <c r="L18" s="14" t="s">
        <v>456</v>
      </c>
      <c r="M18" s="38" t="s">
        <v>500</v>
      </c>
      <c r="N18" s="14" t="s">
        <v>501</v>
      </c>
      <c r="O18" s="14" t="s">
        <v>502</v>
      </c>
    </row>
    <row r="19" ht="14.25" customHeight="1">
      <c r="B19" s="14" t="s">
        <v>503</v>
      </c>
      <c r="C19" s="14" t="s">
        <v>6</v>
      </c>
      <c r="D19" s="14" t="s">
        <v>504</v>
      </c>
      <c r="E19" s="14" t="s">
        <v>452</v>
      </c>
      <c r="F19" s="14" t="s">
        <v>505</v>
      </c>
      <c r="G19" s="14">
        <v>186.0</v>
      </c>
      <c r="H19" s="14" t="s">
        <v>506</v>
      </c>
      <c r="I19" s="14" t="s">
        <v>507</v>
      </c>
      <c r="J19" s="14" t="s">
        <v>456</v>
      </c>
      <c r="K19" s="14" t="s">
        <v>456</v>
      </c>
      <c r="L19" s="14" t="s">
        <v>456</v>
      </c>
      <c r="M19" s="38" t="s">
        <v>508</v>
      </c>
      <c r="N19" s="14" t="s">
        <v>509</v>
      </c>
      <c r="O19" s="14" t="s">
        <v>510</v>
      </c>
    </row>
    <row r="20" ht="14.25" customHeight="1">
      <c r="B20" s="14" t="s">
        <v>511</v>
      </c>
      <c r="C20" s="14" t="s">
        <v>7</v>
      </c>
      <c r="D20" s="14" t="s">
        <v>512</v>
      </c>
      <c r="E20" s="14" t="s">
        <v>462</v>
      </c>
      <c r="F20" s="14" t="s">
        <v>513</v>
      </c>
      <c r="G20" s="14" t="s">
        <v>45</v>
      </c>
      <c r="H20" s="14" t="s">
        <v>514</v>
      </c>
      <c r="I20" s="14" t="s">
        <v>515</v>
      </c>
      <c r="J20" s="14" t="s">
        <v>456</v>
      </c>
      <c r="K20" s="14" t="s">
        <v>456</v>
      </c>
      <c r="L20" s="14" t="s">
        <v>456</v>
      </c>
      <c r="M20" s="38" t="s">
        <v>516</v>
      </c>
      <c r="N20" s="14" t="s">
        <v>517</v>
      </c>
      <c r="O20" s="14" t="s">
        <v>518</v>
      </c>
    </row>
    <row r="21" ht="14.25" customHeight="1">
      <c r="B21" s="14" t="s">
        <v>519</v>
      </c>
      <c r="C21" s="14" t="s">
        <v>8</v>
      </c>
      <c r="D21" s="14" t="s">
        <v>520</v>
      </c>
      <c r="E21" s="14" t="s">
        <v>521</v>
      </c>
      <c r="F21" s="14" t="s">
        <v>522</v>
      </c>
      <c r="G21" s="14" t="s">
        <v>523</v>
      </c>
      <c r="H21" s="14" t="s">
        <v>524</v>
      </c>
      <c r="I21" s="14" t="s">
        <v>525</v>
      </c>
      <c r="J21" s="14" t="s">
        <v>456</v>
      </c>
      <c r="K21" s="14" t="s">
        <v>456</v>
      </c>
      <c r="L21" s="14" t="s">
        <v>456</v>
      </c>
      <c r="M21" s="38" t="s">
        <v>526</v>
      </c>
      <c r="N21" s="14" t="s">
        <v>527</v>
      </c>
      <c r="O21" s="14" t="s">
        <v>528</v>
      </c>
    </row>
    <row r="22" ht="14.25" customHeight="1">
      <c r="B22" s="14" t="s">
        <v>529</v>
      </c>
      <c r="C22" s="14" t="s">
        <v>9</v>
      </c>
      <c r="D22" s="14" t="s">
        <v>530</v>
      </c>
      <c r="E22" s="14" t="s">
        <v>452</v>
      </c>
      <c r="F22" s="14" t="s">
        <v>505</v>
      </c>
      <c r="G22" s="14">
        <v>450.0</v>
      </c>
      <c r="H22" s="14" t="s">
        <v>531</v>
      </c>
      <c r="I22" s="14" t="s">
        <v>532</v>
      </c>
      <c r="J22" s="14" t="s">
        <v>456</v>
      </c>
      <c r="K22" s="14" t="s">
        <v>456</v>
      </c>
      <c r="L22" s="14" t="s">
        <v>456</v>
      </c>
      <c r="M22" s="38" t="s">
        <v>533</v>
      </c>
      <c r="N22" s="14" t="s">
        <v>534</v>
      </c>
      <c r="O22" s="14" t="s">
        <v>535</v>
      </c>
    </row>
    <row r="23" ht="14.25" customHeight="1">
      <c r="B23" s="14" t="s">
        <v>536</v>
      </c>
      <c r="C23" s="14" t="s">
        <v>10</v>
      </c>
      <c r="D23" s="14" t="s">
        <v>537</v>
      </c>
      <c r="E23" s="14" t="s">
        <v>462</v>
      </c>
      <c r="F23" s="14" t="s">
        <v>513</v>
      </c>
      <c r="G23" s="14" t="s">
        <v>75</v>
      </c>
      <c r="H23" s="14" t="s">
        <v>538</v>
      </c>
      <c r="I23" s="14" t="s">
        <v>539</v>
      </c>
      <c r="J23" s="14" t="s">
        <v>456</v>
      </c>
      <c r="K23" s="14" t="s">
        <v>456</v>
      </c>
      <c r="L23" s="14" t="s">
        <v>456</v>
      </c>
      <c r="M23" s="38" t="s">
        <v>540</v>
      </c>
      <c r="N23" s="14" t="s">
        <v>541</v>
      </c>
      <c r="O23" s="14" t="s">
        <v>542</v>
      </c>
    </row>
    <row r="24" ht="14.25" customHeight="1">
      <c r="B24" s="14" t="s">
        <v>543</v>
      </c>
      <c r="C24" s="14" t="s">
        <v>11</v>
      </c>
      <c r="D24" s="14" t="s">
        <v>544</v>
      </c>
      <c r="E24" s="14" t="s">
        <v>521</v>
      </c>
      <c r="F24" s="14" t="s">
        <v>522</v>
      </c>
      <c r="G24" s="14" t="s">
        <v>545</v>
      </c>
      <c r="H24" s="14" t="s">
        <v>546</v>
      </c>
      <c r="I24" s="14" t="s">
        <v>547</v>
      </c>
      <c r="J24" s="14" t="s">
        <v>456</v>
      </c>
      <c r="K24" s="14" t="s">
        <v>456</v>
      </c>
      <c r="L24" s="14" t="s">
        <v>456</v>
      </c>
      <c r="M24" s="38" t="s">
        <v>548</v>
      </c>
      <c r="N24" s="14" t="s">
        <v>549</v>
      </c>
      <c r="O24" s="14" t="s">
        <v>550</v>
      </c>
    </row>
    <row r="25" ht="14.25" customHeight="1">
      <c r="B25" s="14" t="s">
        <v>551</v>
      </c>
      <c r="C25" s="14" t="s">
        <v>12</v>
      </c>
      <c r="D25" s="14" t="s">
        <v>552</v>
      </c>
      <c r="E25" s="14" t="s">
        <v>462</v>
      </c>
      <c r="F25" s="14" t="s">
        <v>553</v>
      </c>
      <c r="G25" s="14" t="s">
        <v>554</v>
      </c>
      <c r="H25" s="14" t="s">
        <v>555</v>
      </c>
      <c r="I25" s="14" t="s">
        <v>556</v>
      </c>
      <c r="J25" s="14" t="s">
        <v>456</v>
      </c>
      <c r="K25" s="14" t="s">
        <v>456</v>
      </c>
      <c r="L25" s="14" t="s">
        <v>456</v>
      </c>
      <c r="M25" s="38" t="s">
        <v>557</v>
      </c>
      <c r="N25" s="14" t="s">
        <v>558</v>
      </c>
      <c r="O25" s="14" t="s">
        <v>559</v>
      </c>
    </row>
    <row r="26" ht="14.25" customHeight="1">
      <c r="B26" s="14" t="s">
        <v>560</v>
      </c>
      <c r="C26" s="14" t="s">
        <v>13</v>
      </c>
      <c r="D26" s="14" t="s">
        <v>561</v>
      </c>
      <c r="E26" s="14" t="s">
        <v>462</v>
      </c>
      <c r="F26" s="14" t="s">
        <v>553</v>
      </c>
      <c r="G26" s="14" t="s">
        <v>562</v>
      </c>
      <c r="H26" s="14" t="s">
        <v>563</v>
      </c>
      <c r="I26" s="14" t="s">
        <v>564</v>
      </c>
      <c r="J26" s="14" t="s">
        <v>456</v>
      </c>
      <c r="K26" s="14" t="s">
        <v>456</v>
      </c>
      <c r="L26" s="14" t="s">
        <v>456</v>
      </c>
      <c r="M26" s="38" t="s">
        <v>565</v>
      </c>
      <c r="N26" s="14" t="s">
        <v>566</v>
      </c>
      <c r="O26" s="14" t="s">
        <v>567</v>
      </c>
    </row>
    <row r="27" ht="14.25" customHeight="1">
      <c r="B27" s="14" t="s">
        <v>568</v>
      </c>
      <c r="C27" s="14" t="s">
        <v>14</v>
      </c>
      <c r="D27" s="14" t="s">
        <v>569</v>
      </c>
      <c r="E27" s="14" t="s">
        <v>462</v>
      </c>
      <c r="F27" s="14" t="s">
        <v>553</v>
      </c>
      <c r="G27" s="14" t="s">
        <v>44</v>
      </c>
      <c r="H27" s="14" t="s">
        <v>570</v>
      </c>
      <c r="I27" s="14" t="s">
        <v>571</v>
      </c>
      <c r="J27" s="14" t="s">
        <v>456</v>
      </c>
      <c r="K27" s="14" t="s">
        <v>456</v>
      </c>
      <c r="L27" s="14" t="s">
        <v>456</v>
      </c>
      <c r="M27" s="38" t="s">
        <v>572</v>
      </c>
      <c r="N27" s="14" t="s">
        <v>573</v>
      </c>
      <c r="O27" s="14" t="s">
        <v>574</v>
      </c>
    </row>
    <row r="28" ht="14.25" customHeight="1">
      <c r="B28" s="14" t="s">
        <v>575</v>
      </c>
      <c r="C28" s="14" t="s">
        <v>15</v>
      </c>
      <c r="D28" s="14" t="s">
        <v>576</v>
      </c>
      <c r="E28" s="14" t="s">
        <v>462</v>
      </c>
      <c r="F28" s="14" t="s">
        <v>577</v>
      </c>
      <c r="G28" s="14" t="s">
        <v>578</v>
      </c>
      <c r="H28" s="14" t="s">
        <v>555</v>
      </c>
      <c r="I28" s="14" t="s">
        <v>579</v>
      </c>
      <c r="J28" s="14" t="s">
        <v>456</v>
      </c>
      <c r="K28" s="14" t="s">
        <v>456</v>
      </c>
      <c r="L28" s="14" t="s">
        <v>456</v>
      </c>
      <c r="M28" s="38" t="s">
        <v>580</v>
      </c>
      <c r="N28" s="14" t="s">
        <v>581</v>
      </c>
      <c r="O28" s="14" t="s">
        <v>582</v>
      </c>
    </row>
    <row r="29" ht="14.25" customHeight="1">
      <c r="B29" s="14" t="s">
        <v>583</v>
      </c>
      <c r="C29" s="14" t="s">
        <v>16</v>
      </c>
      <c r="D29" s="14" t="s">
        <v>584</v>
      </c>
      <c r="E29" s="14" t="s">
        <v>462</v>
      </c>
      <c r="F29" s="14" t="s">
        <v>577</v>
      </c>
      <c r="G29" s="14" t="s">
        <v>585</v>
      </c>
      <c r="H29" s="14" t="s">
        <v>563</v>
      </c>
      <c r="I29" s="14" t="s">
        <v>586</v>
      </c>
      <c r="J29" s="14" t="s">
        <v>456</v>
      </c>
      <c r="K29" s="14" t="s">
        <v>456</v>
      </c>
      <c r="L29" s="14" t="s">
        <v>456</v>
      </c>
      <c r="M29" s="38" t="s">
        <v>587</v>
      </c>
      <c r="N29" s="14" t="s">
        <v>588</v>
      </c>
      <c r="O29" s="14" t="s">
        <v>589</v>
      </c>
    </row>
    <row r="30" ht="14.25" customHeight="1">
      <c r="B30" s="14" t="s">
        <v>590</v>
      </c>
      <c r="C30" s="14" t="s">
        <v>17</v>
      </c>
      <c r="D30" s="14" t="s">
        <v>591</v>
      </c>
      <c r="E30" s="14" t="s">
        <v>462</v>
      </c>
      <c r="F30" s="14" t="s">
        <v>577</v>
      </c>
      <c r="G30" s="14" t="s">
        <v>44</v>
      </c>
      <c r="H30" s="14" t="s">
        <v>570</v>
      </c>
      <c r="I30" s="14" t="s">
        <v>592</v>
      </c>
      <c r="J30" s="14" t="s">
        <v>456</v>
      </c>
      <c r="K30" s="14" t="s">
        <v>456</v>
      </c>
      <c r="L30" s="14" t="s">
        <v>456</v>
      </c>
      <c r="M30" s="38" t="s">
        <v>572</v>
      </c>
      <c r="N30" s="14" t="s">
        <v>593</v>
      </c>
      <c r="O30" s="14" t="s">
        <v>594</v>
      </c>
    </row>
    <row r="31" ht="14.25" customHeight="1">
      <c r="B31" s="14" t="s">
        <v>595</v>
      </c>
      <c r="C31" s="14" t="s">
        <v>18</v>
      </c>
      <c r="D31" s="14" t="s">
        <v>596</v>
      </c>
      <c r="E31" s="14" t="s">
        <v>597</v>
      </c>
      <c r="F31" s="14" t="s">
        <v>598</v>
      </c>
      <c r="G31" s="14">
        <v>1.0</v>
      </c>
      <c r="H31" s="14" t="s">
        <v>599</v>
      </c>
      <c r="I31" s="14" t="s">
        <v>600</v>
      </c>
      <c r="J31" s="14" t="s">
        <v>456</v>
      </c>
      <c r="K31" s="14" t="s">
        <v>601</v>
      </c>
      <c r="L31" s="14" t="s">
        <v>602</v>
      </c>
      <c r="M31" s="38" t="s">
        <v>603</v>
      </c>
      <c r="N31" s="14" t="s">
        <v>604</v>
      </c>
      <c r="O31" s="14" t="s">
        <v>605</v>
      </c>
    </row>
    <row r="32" ht="14.25" customHeight="1">
      <c r="B32" s="14" t="s">
        <v>606</v>
      </c>
      <c r="C32" s="14" t="s">
        <v>19</v>
      </c>
      <c r="D32" s="14" t="s">
        <v>607</v>
      </c>
      <c r="E32" s="14" t="s">
        <v>597</v>
      </c>
      <c r="F32" s="14" t="s">
        <v>598</v>
      </c>
      <c r="G32" s="14">
        <v>1.0</v>
      </c>
      <c r="H32" s="14" t="s">
        <v>608</v>
      </c>
      <c r="I32" s="14" t="s">
        <v>609</v>
      </c>
      <c r="J32" s="14" t="s">
        <v>456</v>
      </c>
      <c r="K32" s="14" t="s">
        <v>610</v>
      </c>
      <c r="L32" s="14" t="s">
        <v>602</v>
      </c>
      <c r="M32" s="38" t="s">
        <v>611</v>
      </c>
      <c r="N32" s="14" t="s">
        <v>612</v>
      </c>
      <c r="O32" s="14" t="s">
        <v>613</v>
      </c>
    </row>
    <row r="33" ht="14.25" customHeight="1">
      <c r="B33" s="14" t="s">
        <v>614</v>
      </c>
      <c r="C33" s="14" t="s">
        <v>20</v>
      </c>
      <c r="D33" s="14" t="s">
        <v>615</v>
      </c>
      <c r="E33" s="14" t="s">
        <v>597</v>
      </c>
      <c r="F33" s="14" t="s">
        <v>598</v>
      </c>
      <c r="G33" s="14">
        <v>1.0</v>
      </c>
      <c r="H33" s="14" t="s">
        <v>616</v>
      </c>
      <c r="I33" s="14" t="s">
        <v>617</v>
      </c>
      <c r="J33" s="14" t="s">
        <v>456</v>
      </c>
      <c r="K33" s="14" t="s">
        <v>618</v>
      </c>
      <c r="L33" s="14" t="s">
        <v>602</v>
      </c>
      <c r="M33" s="38" t="s">
        <v>619</v>
      </c>
      <c r="N33" s="14" t="s">
        <v>620</v>
      </c>
      <c r="O33" s="14" t="s">
        <v>621</v>
      </c>
    </row>
    <row r="34" ht="14.25" customHeight="1">
      <c r="B34" s="14" t="s">
        <v>622</v>
      </c>
      <c r="C34" s="14" t="s">
        <v>21</v>
      </c>
      <c r="D34" s="14" t="s">
        <v>623</v>
      </c>
      <c r="E34" s="14" t="s">
        <v>597</v>
      </c>
      <c r="F34" s="14" t="s">
        <v>598</v>
      </c>
      <c r="G34" s="14">
        <v>1.0</v>
      </c>
      <c r="H34" s="14" t="s">
        <v>624</v>
      </c>
      <c r="I34" s="14" t="s">
        <v>625</v>
      </c>
      <c r="J34" s="14" t="s">
        <v>456</v>
      </c>
      <c r="K34" s="14" t="s">
        <v>626</v>
      </c>
      <c r="L34" s="14" t="s">
        <v>602</v>
      </c>
      <c r="M34" s="38" t="s">
        <v>627</v>
      </c>
      <c r="N34" s="14" t="s">
        <v>628</v>
      </c>
      <c r="O34" s="14" t="s">
        <v>629</v>
      </c>
    </row>
    <row r="35" ht="14.25" customHeight="1">
      <c r="B35" s="14" t="s">
        <v>630</v>
      </c>
      <c r="C35" s="14" t="s">
        <v>22</v>
      </c>
      <c r="D35" s="14" t="s">
        <v>631</v>
      </c>
      <c r="E35" s="14" t="s">
        <v>597</v>
      </c>
      <c r="F35" s="14" t="s">
        <v>598</v>
      </c>
      <c r="G35" s="14">
        <v>1.0</v>
      </c>
      <c r="H35" s="14" t="s">
        <v>632</v>
      </c>
      <c r="I35" s="14" t="s">
        <v>633</v>
      </c>
      <c r="J35" s="14" t="s">
        <v>456</v>
      </c>
      <c r="K35" s="14" t="s">
        <v>634</v>
      </c>
      <c r="L35" s="14" t="s">
        <v>602</v>
      </c>
      <c r="M35" s="38" t="s">
        <v>635</v>
      </c>
      <c r="N35" s="14" t="s">
        <v>636</v>
      </c>
      <c r="O35" s="14" t="s">
        <v>637</v>
      </c>
    </row>
    <row r="36" ht="14.25" customHeight="1">
      <c r="B36" s="14" t="s">
        <v>638</v>
      </c>
      <c r="C36" s="14" t="s">
        <v>23</v>
      </c>
      <c r="D36" s="14" t="s">
        <v>639</v>
      </c>
      <c r="E36" s="14" t="s">
        <v>597</v>
      </c>
      <c r="F36" s="14" t="s">
        <v>598</v>
      </c>
      <c r="G36" s="14">
        <v>0.0</v>
      </c>
      <c r="H36" s="14" t="s">
        <v>640</v>
      </c>
      <c r="I36" s="14" t="s">
        <v>641</v>
      </c>
      <c r="J36" s="14" t="s">
        <v>456</v>
      </c>
      <c r="K36" s="14" t="s">
        <v>642</v>
      </c>
      <c r="L36" s="14" t="s">
        <v>602</v>
      </c>
      <c r="M36" s="38" t="s">
        <v>643</v>
      </c>
      <c r="N36" s="14" t="s">
        <v>644</v>
      </c>
      <c r="O36" s="14" t="s">
        <v>645</v>
      </c>
    </row>
    <row r="37" ht="14.25" customHeight="1">
      <c r="B37" s="14" t="s">
        <v>646</v>
      </c>
      <c r="C37" s="14" t="s">
        <v>24</v>
      </c>
      <c r="D37" s="14" t="s">
        <v>647</v>
      </c>
      <c r="E37" s="14" t="s">
        <v>597</v>
      </c>
      <c r="F37" s="14" t="s">
        <v>598</v>
      </c>
      <c r="G37" s="14">
        <v>0.0</v>
      </c>
      <c r="H37" s="14" t="s">
        <v>648</v>
      </c>
      <c r="I37" s="14" t="s">
        <v>649</v>
      </c>
      <c r="J37" s="14" t="s">
        <v>456</v>
      </c>
      <c r="K37" s="14" t="s">
        <v>650</v>
      </c>
      <c r="L37" s="14" t="s">
        <v>602</v>
      </c>
      <c r="M37" s="38" t="s">
        <v>651</v>
      </c>
      <c r="N37" s="14" t="s">
        <v>652</v>
      </c>
      <c r="O37" s="14" t="s">
        <v>653</v>
      </c>
    </row>
    <row r="38" ht="14.25" customHeight="1">
      <c r="B38" s="14" t="s">
        <v>654</v>
      </c>
      <c r="C38" s="14" t="s">
        <v>25</v>
      </c>
      <c r="D38" s="14" t="s">
        <v>655</v>
      </c>
      <c r="E38" s="14" t="s">
        <v>656</v>
      </c>
      <c r="F38" s="14" t="s">
        <v>657</v>
      </c>
      <c r="G38" s="14">
        <v>5.0</v>
      </c>
      <c r="H38" s="14" t="s">
        <v>658</v>
      </c>
      <c r="I38" s="14" t="s">
        <v>659</v>
      </c>
      <c r="J38" s="14" t="s">
        <v>456</v>
      </c>
      <c r="K38" s="14" t="s">
        <v>456</v>
      </c>
      <c r="L38" s="14" t="s">
        <v>456</v>
      </c>
      <c r="M38" s="38" t="s">
        <v>660</v>
      </c>
      <c r="N38" s="14" t="s">
        <v>661</v>
      </c>
      <c r="O38" s="14" t="s">
        <v>662</v>
      </c>
    </row>
    <row r="39" ht="14.25" customHeight="1">
      <c r="B39" s="14" t="s">
        <v>663</v>
      </c>
      <c r="C39" s="14" t="s">
        <v>26</v>
      </c>
      <c r="D39" s="14" t="s">
        <v>664</v>
      </c>
      <c r="E39" s="14" t="s">
        <v>521</v>
      </c>
      <c r="F39" s="14" t="s">
        <v>665</v>
      </c>
      <c r="G39" s="14" t="s">
        <v>666</v>
      </c>
      <c r="H39" s="14" t="s">
        <v>667</v>
      </c>
      <c r="I39" s="14" t="s">
        <v>668</v>
      </c>
      <c r="J39" s="14" t="s">
        <v>456</v>
      </c>
      <c r="K39" s="14" t="s">
        <v>456</v>
      </c>
      <c r="L39" s="14" t="s">
        <v>456</v>
      </c>
      <c r="M39" s="38" t="s">
        <v>669</v>
      </c>
      <c r="N39" s="14" t="s">
        <v>670</v>
      </c>
      <c r="O39" s="14" t="s">
        <v>671</v>
      </c>
    </row>
    <row r="40" ht="14.25" customHeight="1">
      <c r="B40" s="14" t="s">
        <v>672</v>
      </c>
      <c r="C40" s="14" t="s">
        <v>27</v>
      </c>
      <c r="D40" s="14" t="s">
        <v>673</v>
      </c>
      <c r="E40" s="14" t="s">
        <v>674</v>
      </c>
      <c r="F40" s="14" t="s">
        <v>675</v>
      </c>
      <c r="G40" s="14">
        <v>2.0</v>
      </c>
      <c r="H40" s="14" t="s">
        <v>676</v>
      </c>
      <c r="I40" s="14" t="s">
        <v>677</v>
      </c>
      <c r="J40" s="14" t="s">
        <v>678</v>
      </c>
      <c r="K40" s="14" t="s">
        <v>679</v>
      </c>
      <c r="L40" s="14" t="s">
        <v>680</v>
      </c>
      <c r="M40" s="38" t="s">
        <v>681</v>
      </c>
      <c r="N40" s="14" t="s">
        <v>682</v>
      </c>
      <c r="O40" s="14" t="s">
        <v>683</v>
      </c>
    </row>
    <row r="41" ht="14.25" customHeight="1">
      <c r="B41" s="14" t="s">
        <v>684</v>
      </c>
      <c r="C41" s="14" t="s">
        <v>28</v>
      </c>
      <c r="D41" s="14" t="s">
        <v>685</v>
      </c>
      <c r="E41" s="14" t="s">
        <v>674</v>
      </c>
      <c r="F41" s="14" t="s">
        <v>675</v>
      </c>
      <c r="G41" s="14">
        <v>1.0</v>
      </c>
      <c r="H41" s="14" t="s">
        <v>686</v>
      </c>
      <c r="I41" s="14" t="s">
        <v>687</v>
      </c>
      <c r="J41" s="14" t="s">
        <v>688</v>
      </c>
      <c r="K41" s="14" t="s">
        <v>689</v>
      </c>
      <c r="L41" s="14" t="s">
        <v>690</v>
      </c>
      <c r="M41" s="38" t="s">
        <v>691</v>
      </c>
      <c r="N41" s="14" t="s">
        <v>692</v>
      </c>
      <c r="O41" s="14" t="s">
        <v>693</v>
      </c>
    </row>
    <row r="42" ht="14.25" customHeight="1">
      <c r="B42" s="14" t="s">
        <v>694</v>
      </c>
      <c r="C42" s="14" t="s">
        <v>29</v>
      </c>
      <c r="D42" s="14" t="s">
        <v>695</v>
      </c>
      <c r="E42" s="14" t="s">
        <v>674</v>
      </c>
      <c r="F42" s="14" t="s">
        <v>675</v>
      </c>
      <c r="G42" s="14">
        <v>2.0</v>
      </c>
      <c r="H42" s="14" t="s">
        <v>686</v>
      </c>
      <c r="I42" s="14" t="s">
        <v>696</v>
      </c>
      <c r="J42" s="14" t="s">
        <v>697</v>
      </c>
      <c r="K42" s="14" t="s">
        <v>698</v>
      </c>
      <c r="L42" s="14" t="s">
        <v>699</v>
      </c>
      <c r="M42" s="38" t="s">
        <v>700</v>
      </c>
      <c r="N42" s="14" t="s">
        <v>701</v>
      </c>
      <c r="O42" s="14" t="s">
        <v>702</v>
      </c>
    </row>
    <row r="43" ht="14.25" customHeight="1">
      <c r="B43" s="14" t="s">
        <v>703</v>
      </c>
      <c r="C43" s="14" t="s">
        <v>30</v>
      </c>
      <c r="D43" s="14" t="s">
        <v>704</v>
      </c>
      <c r="E43" s="14" t="s">
        <v>674</v>
      </c>
      <c r="F43" s="14" t="s">
        <v>675</v>
      </c>
      <c r="G43" s="14">
        <v>1.0</v>
      </c>
      <c r="H43" s="14" t="s">
        <v>686</v>
      </c>
      <c r="I43" s="14" t="s">
        <v>705</v>
      </c>
      <c r="J43" s="14" t="s">
        <v>706</v>
      </c>
      <c r="K43" s="14" t="s">
        <v>707</v>
      </c>
      <c r="L43" s="14" t="s">
        <v>708</v>
      </c>
      <c r="M43" s="38" t="s">
        <v>709</v>
      </c>
      <c r="N43" s="14" t="s">
        <v>710</v>
      </c>
      <c r="O43" s="14" t="s">
        <v>711</v>
      </c>
    </row>
    <row r="44" ht="14.25" customHeight="1">
      <c r="B44" s="14" t="s">
        <v>712</v>
      </c>
      <c r="C44" s="14" t="s">
        <v>31</v>
      </c>
      <c r="D44" s="14" t="s">
        <v>713</v>
      </c>
      <c r="E44" s="14" t="s">
        <v>674</v>
      </c>
      <c r="F44" s="14" t="s">
        <v>675</v>
      </c>
      <c r="G44" s="14">
        <v>2.0</v>
      </c>
      <c r="H44" s="14" t="s">
        <v>686</v>
      </c>
      <c r="I44" s="14" t="s">
        <v>714</v>
      </c>
      <c r="J44" s="14" t="s">
        <v>715</v>
      </c>
      <c r="K44" s="14" t="s">
        <v>716</v>
      </c>
      <c r="L44" s="14" t="s">
        <v>717</v>
      </c>
      <c r="M44" s="38" t="s">
        <v>718</v>
      </c>
      <c r="N44" s="14" t="s">
        <v>719</v>
      </c>
      <c r="O44" s="14" t="s">
        <v>720</v>
      </c>
    </row>
    <row r="45" ht="14.25" customHeight="1">
      <c r="B45" s="14" t="s">
        <v>721</v>
      </c>
      <c r="C45" s="14" t="s">
        <v>32</v>
      </c>
      <c r="D45" s="14" t="s">
        <v>722</v>
      </c>
      <c r="E45" s="14" t="s">
        <v>674</v>
      </c>
      <c r="F45" s="14" t="s">
        <v>675</v>
      </c>
      <c r="G45" s="14">
        <v>1.0</v>
      </c>
      <c r="H45" s="14" t="s">
        <v>686</v>
      </c>
      <c r="I45" s="14" t="s">
        <v>723</v>
      </c>
      <c r="J45" s="14" t="s">
        <v>724</v>
      </c>
      <c r="K45" s="14" t="s">
        <v>725</v>
      </c>
      <c r="L45" s="14" t="s">
        <v>726</v>
      </c>
      <c r="M45" s="38" t="s">
        <v>727</v>
      </c>
      <c r="N45" s="14" t="s">
        <v>728</v>
      </c>
      <c r="O45" s="14" t="s">
        <v>729</v>
      </c>
    </row>
    <row r="46" ht="14.25" customHeight="1">
      <c r="B46" s="14" t="s">
        <v>730</v>
      </c>
      <c r="C46" s="14" t="s">
        <v>33</v>
      </c>
      <c r="D46" s="14" t="s">
        <v>731</v>
      </c>
      <c r="E46" s="14" t="s">
        <v>656</v>
      </c>
      <c r="F46" s="14" t="s">
        <v>732</v>
      </c>
      <c r="G46" s="14">
        <v>9.0</v>
      </c>
      <c r="H46" s="14" t="s">
        <v>733</v>
      </c>
      <c r="I46" s="14" t="s">
        <v>734</v>
      </c>
      <c r="J46" s="14" t="s">
        <v>456</v>
      </c>
      <c r="K46" s="14" t="s">
        <v>456</v>
      </c>
      <c r="L46" s="14" t="s">
        <v>456</v>
      </c>
      <c r="M46" s="38" t="s">
        <v>735</v>
      </c>
      <c r="N46" s="14" t="s">
        <v>736</v>
      </c>
      <c r="O46" s="14" t="s">
        <v>737</v>
      </c>
    </row>
    <row r="47" ht="14.25" customHeight="1">
      <c r="B47" s="14" t="s">
        <v>738</v>
      </c>
      <c r="C47" s="14" t="s">
        <v>34</v>
      </c>
      <c r="D47" s="14" t="s">
        <v>739</v>
      </c>
      <c r="E47" s="14" t="s">
        <v>521</v>
      </c>
      <c r="F47" s="14" t="s">
        <v>740</v>
      </c>
      <c r="G47" s="14" t="s">
        <v>741</v>
      </c>
      <c r="H47" s="14" t="s">
        <v>742</v>
      </c>
      <c r="I47" s="14" t="s">
        <v>743</v>
      </c>
      <c r="J47" s="14" t="s">
        <v>456</v>
      </c>
      <c r="K47" s="14" t="s">
        <v>456</v>
      </c>
      <c r="L47" s="14" t="s">
        <v>456</v>
      </c>
      <c r="M47" s="38" t="s">
        <v>744</v>
      </c>
      <c r="N47" s="14" t="s">
        <v>745</v>
      </c>
      <c r="O47" s="14" t="s">
        <v>746</v>
      </c>
    </row>
    <row r="48" ht="14.25" customHeight="1">
      <c r="B48" s="16" t="s">
        <v>747</v>
      </c>
      <c r="C48" s="16" t="s">
        <v>35</v>
      </c>
      <c r="D48" s="16" t="s">
        <v>748</v>
      </c>
      <c r="E48" s="16" t="s">
        <v>462</v>
      </c>
      <c r="F48" s="16" t="s">
        <v>749</v>
      </c>
      <c r="G48" s="16" t="s">
        <v>750</v>
      </c>
      <c r="H48" s="16" t="s">
        <v>751</v>
      </c>
      <c r="I48" s="16" t="s">
        <v>752</v>
      </c>
      <c r="J48" s="16" t="s">
        <v>753</v>
      </c>
      <c r="K48" s="16" t="s">
        <v>754</v>
      </c>
      <c r="L48" s="16" t="s">
        <v>754</v>
      </c>
      <c r="M48" s="21" t="s">
        <v>755</v>
      </c>
      <c r="N48" s="16" t="s">
        <v>756</v>
      </c>
      <c r="O48" s="16" t="s">
        <v>757</v>
      </c>
    </row>
    <row r="49" ht="14.25" customHeight="1">
      <c r="B49" s="16" t="s">
        <v>758</v>
      </c>
      <c r="C49" s="16" t="s">
        <v>36</v>
      </c>
      <c r="D49" s="16" t="s">
        <v>759</v>
      </c>
      <c r="E49" s="16" t="s">
        <v>462</v>
      </c>
      <c r="F49" s="16" t="s">
        <v>749</v>
      </c>
      <c r="G49" s="16" t="s">
        <v>760</v>
      </c>
      <c r="H49" s="16" t="s">
        <v>761</v>
      </c>
      <c r="I49" s="16" t="s">
        <v>762</v>
      </c>
      <c r="J49" s="16" t="s">
        <v>754</v>
      </c>
      <c r="K49" s="16" t="s">
        <v>754</v>
      </c>
      <c r="L49" s="16" t="s">
        <v>754</v>
      </c>
      <c r="M49" s="21" t="s">
        <v>763</v>
      </c>
      <c r="N49" s="16" t="s">
        <v>764</v>
      </c>
      <c r="O49" s="16" t="s">
        <v>765</v>
      </c>
    </row>
    <row r="50" ht="14.25" customHeight="1">
      <c r="B50" s="16" t="s">
        <v>766</v>
      </c>
      <c r="C50" s="16" t="s">
        <v>37</v>
      </c>
      <c r="D50" s="16" t="s">
        <v>767</v>
      </c>
      <c r="E50" s="16" t="s">
        <v>462</v>
      </c>
      <c r="F50" s="16" t="s">
        <v>749</v>
      </c>
      <c r="G50" s="16" t="s">
        <v>44</v>
      </c>
      <c r="H50" s="16" t="s">
        <v>768</v>
      </c>
      <c r="I50" s="16" t="s">
        <v>769</v>
      </c>
      <c r="J50" s="16" t="s">
        <v>754</v>
      </c>
      <c r="K50" s="16" t="s">
        <v>754</v>
      </c>
      <c r="L50" s="16" t="s">
        <v>754</v>
      </c>
      <c r="M50" s="21" t="s">
        <v>763</v>
      </c>
      <c r="N50" s="16" t="s">
        <v>770</v>
      </c>
      <c r="O50" s="16" t="s">
        <v>771</v>
      </c>
    </row>
    <row r="51" ht="14.25" customHeight="1">
      <c r="B51" s="16" t="s">
        <v>772</v>
      </c>
      <c r="C51" s="16" t="s">
        <v>38</v>
      </c>
      <c r="D51" s="16" t="s">
        <v>773</v>
      </c>
      <c r="E51" s="16" t="s">
        <v>521</v>
      </c>
      <c r="F51" s="16" t="s">
        <v>774</v>
      </c>
      <c r="G51" s="16" t="s">
        <v>775</v>
      </c>
      <c r="H51" s="16" t="s">
        <v>776</v>
      </c>
      <c r="I51" s="16" t="s">
        <v>777</v>
      </c>
      <c r="J51" s="16" t="s">
        <v>754</v>
      </c>
      <c r="K51" s="16" t="s">
        <v>754</v>
      </c>
      <c r="L51" s="16" t="s">
        <v>754</v>
      </c>
      <c r="M51" s="21" t="s">
        <v>778</v>
      </c>
      <c r="N51" s="16" t="s">
        <v>779</v>
      </c>
      <c r="O51" s="16" t="s">
        <v>780</v>
      </c>
    </row>
    <row r="52" ht="14.25" customHeight="1">
      <c r="M52" s="32"/>
    </row>
    <row r="53" ht="14.25" customHeight="1">
      <c r="M53" s="32"/>
    </row>
    <row r="54" ht="14.25" customHeight="1">
      <c r="M54" s="32"/>
    </row>
    <row r="55" ht="14.25" customHeight="1">
      <c r="M55" s="32"/>
    </row>
    <row r="56" ht="14.25" customHeight="1">
      <c r="M56" s="32"/>
    </row>
    <row r="57" ht="14.25" customHeight="1">
      <c r="M57" s="32"/>
    </row>
    <row r="58" ht="14.25" customHeight="1">
      <c r="M58" s="32"/>
    </row>
    <row r="59" ht="14.25" customHeight="1">
      <c r="M59" s="32"/>
    </row>
    <row r="60" ht="14.25" customHeight="1">
      <c r="M60" s="32"/>
    </row>
    <row r="61" ht="14.25" customHeight="1">
      <c r="M61" s="32"/>
    </row>
    <row r="62" ht="14.25" customHeight="1">
      <c r="M62" s="32"/>
    </row>
    <row r="63" ht="14.25" customHeight="1">
      <c r="M63" s="32"/>
    </row>
    <row r="64" ht="14.25" customHeight="1">
      <c r="M64" s="32"/>
    </row>
    <row r="65" ht="14.25" customHeight="1">
      <c r="M65" s="32"/>
    </row>
    <row r="66" ht="14.25" customHeight="1">
      <c r="M66" s="32"/>
    </row>
    <row r="67" ht="14.25" customHeight="1">
      <c r="M67" s="32"/>
    </row>
    <row r="68" ht="14.25" customHeight="1">
      <c r="M68" s="32"/>
    </row>
    <row r="69" ht="14.25" customHeight="1">
      <c r="M69" s="32"/>
    </row>
    <row r="70" ht="14.25" customHeight="1">
      <c r="M70" s="32"/>
    </row>
    <row r="71" ht="14.25" customHeight="1">
      <c r="M71" s="32"/>
    </row>
    <row r="72" ht="14.25" customHeight="1">
      <c r="M72" s="32"/>
    </row>
    <row r="73" ht="14.25" customHeight="1">
      <c r="M73" s="32"/>
    </row>
    <row r="74" ht="14.25" customHeight="1">
      <c r="M74" s="32"/>
    </row>
    <row r="75" ht="14.25" customHeight="1">
      <c r="M75" s="32"/>
    </row>
    <row r="76" ht="14.25" customHeight="1">
      <c r="M76" s="32"/>
    </row>
    <row r="77" ht="14.25" customHeight="1">
      <c r="M77" s="32"/>
    </row>
    <row r="78" ht="14.25" customHeight="1">
      <c r="M78" s="32"/>
    </row>
    <row r="79" ht="14.25" customHeight="1">
      <c r="M79" s="32"/>
    </row>
    <row r="80" ht="14.25" customHeight="1">
      <c r="M80" s="32"/>
    </row>
    <row r="81" ht="14.25" customHeight="1">
      <c r="M81" s="32"/>
    </row>
    <row r="82" ht="14.25" customHeight="1">
      <c r="M82" s="32"/>
    </row>
    <row r="83" ht="14.25" customHeight="1">
      <c r="M83" s="32"/>
    </row>
    <row r="84" ht="14.25" customHeight="1">
      <c r="M84" s="32"/>
    </row>
    <row r="85" ht="14.25" customHeight="1">
      <c r="M85" s="32"/>
    </row>
    <row r="86" ht="14.25" customHeight="1">
      <c r="M86" s="32"/>
    </row>
    <row r="87" ht="14.25" customHeight="1">
      <c r="M87" s="32"/>
    </row>
    <row r="88" ht="14.25" customHeight="1">
      <c r="M88" s="32"/>
    </row>
    <row r="89" ht="14.25" customHeight="1">
      <c r="M89" s="32"/>
    </row>
    <row r="90" ht="14.25" customHeight="1">
      <c r="M90" s="32"/>
    </row>
    <row r="91" ht="14.25" customHeight="1">
      <c r="M91" s="32"/>
    </row>
    <row r="92" ht="14.25" customHeight="1">
      <c r="M92" s="32"/>
    </row>
    <row r="93" ht="14.25" customHeight="1">
      <c r="M93" s="32"/>
    </row>
    <row r="94" ht="14.25" customHeight="1">
      <c r="M94" s="32"/>
    </row>
    <row r="95" ht="14.25" customHeight="1">
      <c r="M95" s="32"/>
    </row>
    <row r="96" ht="14.25" customHeight="1">
      <c r="M96" s="32"/>
    </row>
    <row r="97" ht="14.25" customHeight="1">
      <c r="M97" s="32"/>
    </row>
    <row r="98" ht="14.25" customHeight="1">
      <c r="M98" s="32"/>
    </row>
    <row r="99" ht="14.25" customHeight="1">
      <c r="M99" s="32"/>
    </row>
    <row r="100" ht="14.25" customHeight="1">
      <c r="M100" s="32"/>
    </row>
    <row r="101" ht="14.25" customHeight="1">
      <c r="M101" s="32"/>
    </row>
    <row r="102" ht="14.25" customHeight="1">
      <c r="M102" s="32"/>
    </row>
    <row r="103" ht="14.25" customHeight="1">
      <c r="M103" s="32"/>
    </row>
    <row r="104" ht="14.25" customHeight="1">
      <c r="M104" s="32"/>
    </row>
    <row r="105" ht="14.25" customHeight="1">
      <c r="M105" s="32"/>
    </row>
    <row r="106" ht="14.25" customHeight="1">
      <c r="M106" s="32"/>
    </row>
    <row r="107" ht="14.25" customHeight="1">
      <c r="M107" s="32"/>
    </row>
    <row r="108" ht="14.25" customHeight="1">
      <c r="M108" s="32"/>
    </row>
    <row r="109" ht="14.25" customHeight="1">
      <c r="M109" s="32"/>
    </row>
    <row r="110" ht="14.25" customHeight="1">
      <c r="M110" s="32"/>
    </row>
    <row r="111" ht="14.25" customHeight="1">
      <c r="M111" s="32"/>
    </row>
    <row r="112" ht="14.25" customHeight="1">
      <c r="M112" s="32"/>
    </row>
    <row r="113" ht="14.25" customHeight="1">
      <c r="M113" s="32"/>
    </row>
    <row r="114" ht="14.25" customHeight="1">
      <c r="M114" s="32"/>
    </row>
    <row r="115" ht="14.25" customHeight="1">
      <c r="M115" s="32"/>
    </row>
    <row r="116" ht="14.25" customHeight="1">
      <c r="M116" s="32"/>
    </row>
    <row r="117" ht="14.25" customHeight="1">
      <c r="M117" s="32"/>
    </row>
    <row r="118" ht="14.25" customHeight="1">
      <c r="M118" s="32"/>
    </row>
    <row r="119" ht="14.25" customHeight="1">
      <c r="M119" s="32"/>
    </row>
    <row r="120" ht="14.25" customHeight="1">
      <c r="M120" s="32"/>
    </row>
    <row r="121" ht="14.25" customHeight="1">
      <c r="M121" s="32"/>
    </row>
    <row r="122" ht="14.25" customHeight="1">
      <c r="M122" s="32"/>
    </row>
    <row r="123" ht="14.25" customHeight="1">
      <c r="M123" s="32"/>
    </row>
    <row r="124" ht="14.25" customHeight="1">
      <c r="M124" s="32"/>
    </row>
    <row r="125" ht="14.25" customHeight="1">
      <c r="M125" s="32"/>
    </row>
    <row r="126" ht="14.25" customHeight="1">
      <c r="M126" s="32"/>
    </row>
    <row r="127" ht="14.25" customHeight="1">
      <c r="M127" s="32"/>
    </row>
    <row r="128" ht="14.25" customHeight="1">
      <c r="M128" s="32"/>
    </row>
    <row r="129" ht="14.25" customHeight="1">
      <c r="M129" s="32"/>
    </row>
    <row r="130" ht="14.25" customHeight="1">
      <c r="M130" s="32"/>
    </row>
    <row r="131" ht="14.25" customHeight="1">
      <c r="M131" s="32"/>
    </row>
    <row r="132" ht="14.25" customHeight="1">
      <c r="M132" s="32"/>
    </row>
    <row r="133" ht="14.25" customHeight="1">
      <c r="M133" s="32"/>
    </row>
    <row r="134" ht="14.25" customHeight="1">
      <c r="M134" s="32"/>
    </row>
    <row r="135" ht="14.25" customHeight="1">
      <c r="M135" s="32"/>
    </row>
    <row r="136" ht="14.25" customHeight="1">
      <c r="M136" s="32"/>
    </row>
    <row r="137" ht="14.25" customHeight="1">
      <c r="M137" s="32"/>
    </row>
    <row r="138" ht="14.25" customHeight="1">
      <c r="M138" s="32"/>
    </row>
    <row r="139" ht="14.25" customHeight="1">
      <c r="M139" s="32"/>
    </row>
    <row r="140" ht="14.25" customHeight="1">
      <c r="M140" s="32"/>
    </row>
    <row r="141" ht="14.25" customHeight="1">
      <c r="M141" s="32"/>
    </row>
    <row r="142" ht="14.25" customHeight="1">
      <c r="M142" s="32"/>
    </row>
    <row r="143" ht="14.25" customHeight="1">
      <c r="M143" s="32"/>
    </row>
    <row r="144" ht="14.25" customHeight="1">
      <c r="M144" s="32"/>
    </row>
    <row r="145" ht="14.25" customHeight="1">
      <c r="M145" s="32"/>
    </row>
    <row r="146" ht="14.25" customHeight="1">
      <c r="M146" s="32"/>
    </row>
    <row r="147" ht="14.25" customHeight="1">
      <c r="M147" s="32"/>
    </row>
    <row r="148" ht="14.25" customHeight="1">
      <c r="M148" s="32"/>
    </row>
    <row r="149" ht="14.25" customHeight="1">
      <c r="M149" s="32"/>
    </row>
    <row r="150" ht="14.25" customHeight="1">
      <c r="M150" s="32"/>
    </row>
    <row r="151" ht="14.25" customHeight="1">
      <c r="M151" s="32"/>
    </row>
    <row r="152" ht="14.25" customHeight="1">
      <c r="M152" s="32"/>
    </row>
    <row r="153" ht="14.25" customHeight="1">
      <c r="M153" s="32"/>
    </row>
    <row r="154" ht="14.25" customHeight="1">
      <c r="M154" s="32"/>
    </row>
    <row r="155" ht="14.25" customHeight="1">
      <c r="M155" s="32"/>
    </row>
    <row r="156" ht="14.25" customHeight="1">
      <c r="M156" s="32"/>
    </row>
    <row r="157" ht="14.25" customHeight="1">
      <c r="M157" s="32"/>
    </row>
    <row r="158" ht="14.25" customHeight="1">
      <c r="M158" s="32"/>
    </row>
    <row r="159" ht="14.25" customHeight="1">
      <c r="M159" s="32"/>
    </row>
    <row r="160" ht="14.25" customHeight="1">
      <c r="M160" s="32"/>
    </row>
    <row r="161" ht="14.25" customHeight="1">
      <c r="M161" s="32"/>
    </row>
    <row r="162" ht="14.25" customHeight="1">
      <c r="M162" s="32"/>
    </row>
    <row r="163" ht="14.25" customHeight="1">
      <c r="M163" s="32"/>
    </row>
    <row r="164" ht="14.25" customHeight="1">
      <c r="M164" s="32"/>
    </row>
    <row r="165" ht="14.25" customHeight="1">
      <c r="M165" s="32"/>
    </row>
    <row r="166" ht="14.25" customHeight="1">
      <c r="M166" s="32"/>
    </row>
    <row r="167" ht="14.25" customHeight="1">
      <c r="M167" s="32"/>
    </row>
    <row r="168" ht="14.25" customHeight="1">
      <c r="M168" s="32"/>
    </row>
    <row r="169" ht="14.25" customHeight="1">
      <c r="M169" s="32"/>
    </row>
    <row r="170" ht="14.25" customHeight="1">
      <c r="M170" s="32"/>
    </row>
    <row r="171" ht="14.25" customHeight="1">
      <c r="M171" s="32"/>
    </row>
    <row r="172" ht="14.25" customHeight="1">
      <c r="M172" s="32"/>
    </row>
    <row r="173" ht="14.25" customHeight="1">
      <c r="M173" s="32"/>
    </row>
    <row r="174" ht="14.25" customHeight="1">
      <c r="M174" s="32"/>
    </row>
    <row r="175" ht="14.25" customHeight="1">
      <c r="M175" s="32"/>
    </row>
    <row r="176" ht="14.25" customHeight="1">
      <c r="M176" s="32"/>
    </row>
    <row r="177" ht="14.25" customHeight="1">
      <c r="M177" s="32"/>
    </row>
    <row r="178" ht="14.25" customHeight="1">
      <c r="M178" s="32"/>
    </row>
    <row r="179" ht="14.25" customHeight="1">
      <c r="M179" s="32"/>
    </row>
    <row r="180" ht="14.25" customHeight="1">
      <c r="M180" s="32"/>
    </row>
    <row r="181" ht="14.25" customHeight="1">
      <c r="M181" s="32"/>
    </row>
    <row r="182" ht="14.25" customHeight="1">
      <c r="M182" s="32"/>
    </row>
    <row r="183" ht="14.25" customHeight="1">
      <c r="M183" s="32"/>
    </row>
    <row r="184" ht="14.25" customHeight="1">
      <c r="M184" s="32"/>
    </row>
    <row r="185" ht="14.25" customHeight="1">
      <c r="M185" s="32"/>
    </row>
    <row r="186" ht="14.25" customHeight="1">
      <c r="M186" s="32"/>
    </row>
    <row r="187" ht="14.25" customHeight="1">
      <c r="M187" s="32"/>
    </row>
    <row r="188" ht="14.25" customHeight="1">
      <c r="M188" s="32"/>
    </row>
    <row r="189" ht="14.25" customHeight="1">
      <c r="M189" s="32"/>
    </row>
    <row r="190" ht="14.25" customHeight="1">
      <c r="M190" s="32"/>
    </row>
    <row r="191" ht="14.25" customHeight="1">
      <c r="M191" s="32"/>
    </row>
    <row r="192" ht="14.25" customHeight="1">
      <c r="M192" s="32"/>
    </row>
    <row r="193" ht="14.25" customHeight="1">
      <c r="M193" s="32"/>
    </row>
    <row r="194" ht="14.25" customHeight="1">
      <c r="M194" s="32"/>
    </row>
    <row r="195" ht="14.25" customHeight="1">
      <c r="M195" s="32"/>
    </row>
    <row r="196" ht="14.25" customHeight="1">
      <c r="M196" s="32"/>
    </row>
    <row r="197" ht="14.25" customHeight="1">
      <c r="M197" s="32"/>
    </row>
    <row r="198" ht="14.25" customHeight="1">
      <c r="M198" s="32"/>
    </row>
    <row r="199" ht="14.25" customHeight="1">
      <c r="M199" s="32"/>
    </row>
    <row r="200" ht="14.25" customHeight="1">
      <c r="M200" s="32"/>
    </row>
    <row r="201" ht="14.25" customHeight="1">
      <c r="M201" s="32"/>
    </row>
    <row r="202" ht="14.25" customHeight="1">
      <c r="M202" s="32"/>
    </row>
    <row r="203" ht="14.25" customHeight="1">
      <c r="M203" s="32"/>
    </row>
    <row r="204" ht="14.25" customHeight="1">
      <c r="M204" s="32"/>
    </row>
    <row r="205" ht="14.25" customHeight="1">
      <c r="M205" s="32"/>
    </row>
    <row r="206" ht="14.25" customHeight="1">
      <c r="M206" s="32"/>
    </row>
    <row r="207" ht="14.25" customHeight="1">
      <c r="M207" s="32"/>
    </row>
    <row r="208" ht="14.25" customHeight="1">
      <c r="M208" s="32"/>
    </row>
    <row r="209" ht="14.25" customHeight="1">
      <c r="M209" s="32"/>
    </row>
    <row r="210" ht="14.25" customHeight="1">
      <c r="M210" s="32"/>
    </row>
    <row r="211" ht="14.25" customHeight="1">
      <c r="M211" s="32"/>
    </row>
    <row r="212" ht="14.25" customHeight="1">
      <c r="M212" s="32"/>
    </row>
    <row r="213" ht="14.25" customHeight="1">
      <c r="M213" s="32"/>
    </row>
    <row r="214" ht="14.25" customHeight="1">
      <c r="M214" s="32"/>
    </row>
    <row r="215" ht="14.25" customHeight="1">
      <c r="M215" s="32"/>
    </row>
    <row r="216" ht="14.25" customHeight="1">
      <c r="M216" s="32"/>
    </row>
    <row r="217" ht="14.25" customHeight="1">
      <c r="M217" s="32"/>
    </row>
    <row r="218" ht="14.25" customHeight="1">
      <c r="M218" s="32"/>
    </row>
    <row r="219" ht="14.25" customHeight="1">
      <c r="M219" s="32"/>
    </row>
    <row r="220" ht="14.25" customHeight="1">
      <c r="M220" s="32"/>
    </row>
    <row r="221" ht="14.25" customHeight="1">
      <c r="M221" s="32"/>
    </row>
    <row r="222" ht="14.25" customHeight="1">
      <c r="M222" s="32"/>
    </row>
    <row r="223" ht="14.25" customHeight="1">
      <c r="M223" s="32"/>
    </row>
    <row r="224" ht="14.25" customHeight="1">
      <c r="M224" s="32"/>
    </row>
    <row r="225" ht="14.25" customHeight="1">
      <c r="M225" s="32"/>
    </row>
    <row r="226" ht="14.25" customHeight="1">
      <c r="M226" s="32"/>
    </row>
    <row r="227" ht="14.25" customHeight="1">
      <c r="M227" s="32"/>
    </row>
    <row r="228" ht="14.25" customHeight="1">
      <c r="M228" s="32"/>
    </row>
    <row r="229" ht="14.25" customHeight="1">
      <c r="M229" s="32"/>
    </row>
    <row r="230" ht="14.25" customHeight="1">
      <c r="M230" s="32"/>
    </row>
    <row r="231" ht="14.25" customHeight="1">
      <c r="M231" s="32"/>
    </row>
    <row r="232" ht="14.25" customHeight="1">
      <c r="M232" s="32"/>
    </row>
    <row r="233" ht="14.25" customHeight="1">
      <c r="M233" s="32"/>
    </row>
    <row r="234" ht="14.25" customHeight="1">
      <c r="M234" s="32"/>
    </row>
    <row r="235" ht="14.25" customHeight="1">
      <c r="M235" s="32"/>
    </row>
    <row r="236" ht="14.25" customHeight="1">
      <c r="M236" s="32"/>
    </row>
    <row r="237" ht="14.25" customHeight="1">
      <c r="M237" s="32"/>
    </row>
    <row r="238" ht="14.25" customHeight="1">
      <c r="M238" s="32"/>
    </row>
    <row r="239" ht="14.25" customHeight="1">
      <c r="M239" s="32"/>
    </row>
    <row r="240" ht="14.25" customHeight="1">
      <c r="M240" s="32"/>
    </row>
    <row r="241" ht="14.25" customHeight="1">
      <c r="M241" s="32"/>
    </row>
    <row r="242" ht="14.25" customHeight="1">
      <c r="M242" s="32"/>
    </row>
    <row r="243" ht="14.25" customHeight="1">
      <c r="M243" s="32"/>
    </row>
    <row r="244" ht="14.25" customHeight="1">
      <c r="M244" s="32"/>
    </row>
    <row r="245" ht="14.25" customHeight="1">
      <c r="M245" s="32"/>
    </row>
    <row r="246" ht="14.25" customHeight="1">
      <c r="M246" s="32"/>
    </row>
    <row r="247" ht="14.25" customHeight="1">
      <c r="M247" s="32"/>
    </row>
    <row r="248" ht="14.25" customHeight="1">
      <c r="M248" s="32"/>
    </row>
    <row r="249" ht="14.25" customHeight="1">
      <c r="M249" s="32"/>
    </row>
    <row r="250" ht="14.25" customHeight="1">
      <c r="M250" s="32"/>
    </row>
    <row r="251" ht="14.25" customHeight="1">
      <c r="M251" s="32"/>
    </row>
    <row r="252" ht="14.25" customHeight="1">
      <c r="M252" s="32"/>
    </row>
    <row r="253" ht="14.25" customHeight="1">
      <c r="M253" s="32"/>
    </row>
    <row r="254" ht="14.25" customHeight="1">
      <c r="M254" s="32"/>
    </row>
    <row r="255" ht="14.25" customHeight="1">
      <c r="M255" s="32"/>
    </row>
    <row r="256" ht="14.25" customHeight="1">
      <c r="M256" s="32"/>
    </row>
    <row r="257" ht="14.25" customHeight="1">
      <c r="M257" s="32"/>
    </row>
    <row r="258" ht="14.25" customHeight="1">
      <c r="M258" s="32"/>
    </row>
    <row r="259" ht="14.25" customHeight="1">
      <c r="M259" s="32"/>
    </row>
    <row r="260" ht="14.25" customHeight="1">
      <c r="M260" s="32"/>
    </row>
    <row r="261" ht="14.25" customHeight="1">
      <c r="M261" s="32"/>
    </row>
    <row r="262" ht="14.25" customHeight="1">
      <c r="M262" s="32"/>
    </row>
    <row r="263" ht="14.25" customHeight="1">
      <c r="M263" s="32"/>
    </row>
    <row r="264" ht="14.25" customHeight="1">
      <c r="M264" s="32"/>
    </row>
    <row r="265" ht="14.25" customHeight="1">
      <c r="M265" s="32"/>
    </row>
    <row r="266" ht="14.25" customHeight="1">
      <c r="M266" s="32"/>
    </row>
    <row r="267" ht="14.25" customHeight="1">
      <c r="M267" s="32"/>
    </row>
    <row r="268" ht="14.25" customHeight="1">
      <c r="M268" s="32"/>
    </row>
    <row r="269" ht="14.25" customHeight="1">
      <c r="M269" s="32"/>
    </row>
    <row r="270" ht="14.25" customHeight="1">
      <c r="M270" s="32"/>
    </row>
    <row r="271" ht="14.25" customHeight="1">
      <c r="M271" s="32"/>
    </row>
    <row r="272" ht="14.25" customHeight="1">
      <c r="M272" s="32"/>
    </row>
    <row r="273" ht="14.25" customHeight="1">
      <c r="M273" s="32"/>
    </row>
    <row r="274" ht="14.25" customHeight="1">
      <c r="M274" s="32"/>
    </row>
    <row r="275" ht="14.25" customHeight="1">
      <c r="M275" s="32"/>
    </row>
    <row r="276" ht="14.25" customHeight="1">
      <c r="M276" s="32"/>
    </row>
    <row r="277" ht="14.25" customHeight="1">
      <c r="M277" s="32"/>
    </row>
    <row r="278" ht="14.25" customHeight="1">
      <c r="M278" s="32"/>
    </row>
    <row r="279" ht="14.25" customHeight="1">
      <c r="M279" s="32"/>
    </row>
    <row r="280" ht="14.25" customHeight="1">
      <c r="M280" s="32"/>
    </row>
    <row r="281" ht="14.25" customHeight="1">
      <c r="M281" s="32"/>
    </row>
    <row r="282" ht="14.25" customHeight="1">
      <c r="M282" s="32"/>
    </row>
    <row r="283" ht="14.25" customHeight="1">
      <c r="M283" s="32"/>
    </row>
    <row r="284" ht="14.25" customHeight="1">
      <c r="M284" s="32"/>
    </row>
    <row r="285" ht="14.25" customHeight="1">
      <c r="M285" s="32"/>
    </row>
    <row r="286" ht="14.25" customHeight="1">
      <c r="M286" s="32"/>
    </row>
    <row r="287" ht="14.25" customHeight="1">
      <c r="M287" s="32"/>
    </row>
    <row r="288" ht="14.25" customHeight="1">
      <c r="M288" s="32"/>
    </row>
    <row r="289" ht="14.25" customHeight="1">
      <c r="M289" s="32"/>
    </row>
    <row r="290" ht="14.25" customHeight="1">
      <c r="M290" s="32"/>
    </row>
    <row r="291" ht="14.25" customHeight="1">
      <c r="M291" s="32"/>
    </row>
    <row r="292" ht="14.25" customHeight="1">
      <c r="M292" s="32"/>
    </row>
    <row r="293" ht="14.25" customHeight="1">
      <c r="M293" s="32"/>
    </row>
    <row r="294" ht="14.25" customHeight="1">
      <c r="M294" s="32"/>
    </row>
    <row r="295" ht="14.25" customHeight="1">
      <c r="M295" s="32"/>
    </row>
    <row r="296" ht="14.25" customHeight="1">
      <c r="M296" s="32"/>
    </row>
    <row r="297" ht="14.25" customHeight="1">
      <c r="M297" s="32"/>
    </row>
    <row r="298" ht="14.25" customHeight="1">
      <c r="M298" s="32"/>
    </row>
    <row r="299" ht="14.25" customHeight="1">
      <c r="M299" s="32"/>
    </row>
    <row r="300" ht="14.25" customHeight="1">
      <c r="M300" s="32"/>
    </row>
    <row r="301" ht="14.25" customHeight="1">
      <c r="M301" s="32"/>
    </row>
    <row r="302" ht="14.25" customHeight="1">
      <c r="M302" s="32"/>
    </row>
    <row r="303" ht="14.25" customHeight="1">
      <c r="M303" s="32"/>
    </row>
    <row r="304" ht="14.25" customHeight="1">
      <c r="M304" s="32"/>
    </row>
    <row r="305" ht="14.25" customHeight="1">
      <c r="M305" s="32"/>
    </row>
    <row r="306" ht="14.25" customHeight="1">
      <c r="M306" s="32"/>
    </row>
    <row r="307" ht="14.25" customHeight="1">
      <c r="M307" s="32"/>
    </row>
    <row r="308" ht="14.25" customHeight="1">
      <c r="M308" s="32"/>
    </row>
    <row r="309" ht="14.25" customHeight="1">
      <c r="M309" s="32"/>
    </row>
    <row r="310" ht="14.25" customHeight="1">
      <c r="M310" s="32"/>
    </row>
    <row r="311" ht="14.25" customHeight="1">
      <c r="M311" s="32"/>
    </row>
    <row r="312" ht="14.25" customHeight="1">
      <c r="M312" s="32"/>
    </row>
    <row r="313" ht="14.25" customHeight="1">
      <c r="M313" s="32"/>
    </row>
    <row r="314" ht="14.25" customHeight="1">
      <c r="M314" s="32"/>
    </row>
    <row r="315" ht="14.25" customHeight="1">
      <c r="M315" s="32"/>
    </row>
    <row r="316" ht="14.25" customHeight="1">
      <c r="M316" s="32"/>
    </row>
    <row r="317" ht="14.25" customHeight="1">
      <c r="M317" s="32"/>
    </row>
    <row r="318" ht="14.25" customHeight="1">
      <c r="M318" s="32"/>
    </row>
    <row r="319" ht="14.25" customHeight="1">
      <c r="M319" s="32"/>
    </row>
    <row r="320" ht="14.25" customHeight="1">
      <c r="M320" s="32"/>
    </row>
    <row r="321" ht="14.25" customHeight="1">
      <c r="M321" s="32"/>
    </row>
    <row r="322" ht="14.25" customHeight="1">
      <c r="M322" s="32"/>
    </row>
    <row r="323" ht="14.25" customHeight="1">
      <c r="M323" s="32"/>
    </row>
    <row r="324" ht="14.25" customHeight="1">
      <c r="M324" s="32"/>
    </row>
    <row r="325" ht="14.25" customHeight="1">
      <c r="M325" s="32"/>
    </row>
    <row r="326" ht="14.25" customHeight="1">
      <c r="M326" s="32"/>
    </row>
    <row r="327" ht="14.25" customHeight="1">
      <c r="M327" s="32"/>
    </row>
    <row r="328" ht="14.25" customHeight="1">
      <c r="M328" s="32"/>
    </row>
    <row r="329" ht="14.25" customHeight="1">
      <c r="M329" s="32"/>
    </row>
    <row r="330" ht="14.25" customHeight="1">
      <c r="M330" s="32"/>
    </row>
    <row r="331" ht="14.25" customHeight="1">
      <c r="M331" s="32"/>
    </row>
    <row r="332" ht="14.25" customHeight="1">
      <c r="M332" s="32"/>
    </row>
    <row r="333" ht="14.25" customHeight="1">
      <c r="M333" s="32"/>
    </row>
    <row r="334" ht="14.25" customHeight="1">
      <c r="M334" s="32"/>
    </row>
    <row r="335" ht="14.25" customHeight="1">
      <c r="M335" s="32"/>
    </row>
    <row r="336" ht="14.25" customHeight="1">
      <c r="M336" s="32"/>
    </row>
    <row r="337" ht="14.25" customHeight="1">
      <c r="M337" s="32"/>
    </row>
    <row r="338" ht="14.25" customHeight="1">
      <c r="M338" s="32"/>
    </row>
    <row r="339" ht="14.25" customHeight="1">
      <c r="M339" s="32"/>
    </row>
    <row r="340" ht="14.25" customHeight="1">
      <c r="M340" s="32"/>
    </row>
    <row r="341" ht="14.25" customHeight="1">
      <c r="M341" s="32"/>
    </row>
    <row r="342" ht="14.25" customHeight="1">
      <c r="M342" s="32"/>
    </row>
    <row r="343" ht="14.25" customHeight="1">
      <c r="M343" s="32"/>
    </row>
    <row r="344" ht="14.25" customHeight="1">
      <c r="M344" s="32"/>
    </row>
    <row r="345" ht="14.25" customHeight="1">
      <c r="M345" s="32"/>
    </row>
    <row r="346" ht="14.25" customHeight="1">
      <c r="M346" s="32"/>
    </row>
    <row r="347" ht="14.25" customHeight="1">
      <c r="M347" s="32"/>
    </row>
    <row r="348" ht="14.25" customHeight="1">
      <c r="M348" s="32"/>
    </row>
    <row r="349" ht="14.25" customHeight="1">
      <c r="M349" s="32"/>
    </row>
    <row r="350" ht="14.25" customHeight="1">
      <c r="M350" s="32"/>
    </row>
    <row r="351" ht="14.25" customHeight="1">
      <c r="M351" s="32"/>
    </row>
    <row r="352" ht="14.25" customHeight="1">
      <c r="M352" s="32"/>
    </row>
    <row r="353" ht="14.25" customHeight="1">
      <c r="M353" s="32"/>
    </row>
    <row r="354" ht="14.25" customHeight="1">
      <c r="M354" s="32"/>
    </row>
    <row r="355" ht="14.25" customHeight="1">
      <c r="M355" s="32"/>
    </row>
    <row r="356" ht="14.25" customHeight="1">
      <c r="M356" s="32"/>
    </row>
    <row r="357" ht="14.25" customHeight="1">
      <c r="M357" s="32"/>
    </row>
    <row r="358" ht="14.25" customHeight="1">
      <c r="M358" s="32"/>
    </row>
    <row r="359" ht="14.25" customHeight="1">
      <c r="M359" s="32"/>
    </row>
    <row r="360" ht="14.25" customHeight="1">
      <c r="M360" s="32"/>
    </row>
    <row r="361" ht="14.25" customHeight="1">
      <c r="M361" s="32"/>
    </row>
    <row r="362" ht="14.25" customHeight="1">
      <c r="M362" s="32"/>
    </row>
    <row r="363" ht="14.25" customHeight="1">
      <c r="M363" s="32"/>
    </row>
    <row r="364" ht="14.25" customHeight="1">
      <c r="M364" s="32"/>
    </row>
    <row r="365" ht="14.25" customHeight="1">
      <c r="M365" s="32"/>
    </row>
    <row r="366" ht="14.25" customHeight="1">
      <c r="M366" s="32"/>
    </row>
    <row r="367" ht="14.25" customHeight="1">
      <c r="M367" s="32"/>
    </row>
    <row r="368" ht="14.25" customHeight="1">
      <c r="M368" s="32"/>
    </row>
    <row r="369" ht="14.25" customHeight="1">
      <c r="M369" s="32"/>
    </row>
    <row r="370" ht="14.25" customHeight="1">
      <c r="M370" s="32"/>
    </row>
    <row r="371" ht="14.25" customHeight="1">
      <c r="M371" s="32"/>
    </row>
    <row r="372" ht="14.25" customHeight="1">
      <c r="M372" s="32"/>
    </row>
    <row r="373" ht="14.25" customHeight="1">
      <c r="M373" s="32"/>
    </row>
    <row r="374" ht="14.25" customHeight="1">
      <c r="M374" s="32"/>
    </row>
    <row r="375" ht="14.25" customHeight="1">
      <c r="M375" s="32"/>
    </row>
    <row r="376" ht="14.25" customHeight="1">
      <c r="M376" s="32"/>
    </row>
    <row r="377" ht="14.25" customHeight="1">
      <c r="M377" s="32"/>
    </row>
    <row r="378" ht="14.25" customHeight="1">
      <c r="M378" s="32"/>
    </row>
    <row r="379" ht="14.25" customHeight="1">
      <c r="M379" s="32"/>
    </row>
    <row r="380" ht="14.25" customHeight="1">
      <c r="M380" s="32"/>
    </row>
    <row r="381" ht="14.25" customHeight="1">
      <c r="M381" s="32"/>
    </row>
    <row r="382" ht="14.25" customHeight="1">
      <c r="M382" s="32"/>
    </row>
    <row r="383" ht="14.25" customHeight="1">
      <c r="M383" s="32"/>
    </row>
    <row r="384" ht="14.25" customHeight="1">
      <c r="M384" s="32"/>
    </row>
    <row r="385" ht="14.25" customHeight="1">
      <c r="M385" s="32"/>
    </row>
    <row r="386" ht="14.25" customHeight="1">
      <c r="M386" s="32"/>
    </row>
    <row r="387" ht="14.25" customHeight="1">
      <c r="M387" s="32"/>
    </row>
    <row r="388" ht="14.25" customHeight="1">
      <c r="M388" s="32"/>
    </row>
    <row r="389" ht="14.25" customHeight="1">
      <c r="M389" s="32"/>
    </row>
    <row r="390" ht="14.25" customHeight="1">
      <c r="M390" s="32"/>
    </row>
    <row r="391" ht="14.25" customHeight="1">
      <c r="M391" s="32"/>
    </row>
    <row r="392" ht="14.25" customHeight="1">
      <c r="M392" s="32"/>
    </row>
    <row r="393" ht="14.25" customHeight="1">
      <c r="M393" s="32"/>
    </row>
    <row r="394" ht="14.25" customHeight="1">
      <c r="M394" s="32"/>
    </row>
    <row r="395" ht="14.25" customHeight="1">
      <c r="M395" s="32"/>
    </row>
    <row r="396" ht="14.25" customHeight="1">
      <c r="M396" s="32"/>
    </row>
    <row r="397" ht="14.25" customHeight="1">
      <c r="M397" s="32"/>
    </row>
    <row r="398" ht="14.25" customHeight="1">
      <c r="M398" s="32"/>
    </row>
    <row r="399" ht="14.25" customHeight="1">
      <c r="M399" s="32"/>
    </row>
    <row r="400" ht="14.25" customHeight="1">
      <c r="M400" s="32"/>
    </row>
    <row r="401" ht="14.25" customHeight="1">
      <c r="M401" s="32"/>
    </row>
    <row r="402" ht="14.25" customHeight="1">
      <c r="M402" s="32"/>
    </row>
    <row r="403" ht="14.25" customHeight="1">
      <c r="M403" s="32"/>
    </row>
    <row r="404" ht="14.25" customHeight="1">
      <c r="M404" s="32"/>
    </row>
    <row r="405" ht="14.25" customHeight="1">
      <c r="M405" s="32"/>
    </row>
    <row r="406" ht="14.25" customHeight="1">
      <c r="M406" s="32"/>
    </row>
    <row r="407" ht="14.25" customHeight="1">
      <c r="M407" s="32"/>
    </row>
    <row r="408" ht="14.25" customHeight="1">
      <c r="M408" s="32"/>
    </row>
    <row r="409" ht="14.25" customHeight="1">
      <c r="M409" s="32"/>
    </row>
    <row r="410" ht="14.25" customHeight="1">
      <c r="M410" s="32"/>
    </row>
    <row r="411" ht="14.25" customHeight="1">
      <c r="M411" s="32"/>
    </row>
    <row r="412" ht="14.25" customHeight="1">
      <c r="M412" s="32"/>
    </row>
    <row r="413" ht="14.25" customHeight="1">
      <c r="M413" s="32"/>
    </row>
    <row r="414" ht="14.25" customHeight="1">
      <c r="M414" s="32"/>
    </row>
    <row r="415" ht="14.25" customHeight="1">
      <c r="M415" s="32"/>
    </row>
    <row r="416" ht="14.25" customHeight="1">
      <c r="M416" s="32"/>
    </row>
    <row r="417" ht="14.25" customHeight="1">
      <c r="M417" s="32"/>
    </row>
    <row r="418" ht="14.25" customHeight="1">
      <c r="M418" s="32"/>
    </row>
    <row r="419" ht="14.25" customHeight="1">
      <c r="M419" s="32"/>
    </row>
    <row r="420" ht="14.25" customHeight="1">
      <c r="M420" s="32"/>
    </row>
    <row r="421" ht="14.25" customHeight="1">
      <c r="M421" s="32"/>
    </row>
    <row r="422" ht="14.25" customHeight="1">
      <c r="M422" s="32"/>
    </row>
    <row r="423" ht="14.25" customHeight="1">
      <c r="M423" s="32"/>
    </row>
    <row r="424" ht="14.25" customHeight="1">
      <c r="M424" s="32"/>
    </row>
    <row r="425" ht="14.25" customHeight="1">
      <c r="M425" s="32"/>
    </row>
    <row r="426" ht="14.25" customHeight="1">
      <c r="M426" s="32"/>
    </row>
    <row r="427" ht="14.25" customHeight="1">
      <c r="M427" s="32"/>
    </row>
    <row r="428" ht="14.25" customHeight="1">
      <c r="M428" s="32"/>
    </row>
    <row r="429" ht="14.25" customHeight="1">
      <c r="M429" s="32"/>
    </row>
    <row r="430" ht="14.25" customHeight="1">
      <c r="M430" s="32"/>
    </row>
    <row r="431" ht="14.25" customHeight="1">
      <c r="M431" s="32"/>
    </row>
    <row r="432" ht="14.25" customHeight="1">
      <c r="M432" s="32"/>
    </row>
    <row r="433" ht="14.25" customHeight="1">
      <c r="M433" s="32"/>
    </row>
    <row r="434" ht="14.25" customHeight="1">
      <c r="M434" s="32"/>
    </row>
    <row r="435" ht="14.25" customHeight="1">
      <c r="M435" s="32"/>
    </row>
    <row r="436" ht="14.25" customHeight="1">
      <c r="M436" s="32"/>
    </row>
    <row r="437" ht="14.25" customHeight="1">
      <c r="M437" s="32"/>
    </row>
    <row r="438" ht="14.25" customHeight="1">
      <c r="M438" s="32"/>
    </row>
    <row r="439" ht="14.25" customHeight="1">
      <c r="M439" s="32"/>
    </row>
    <row r="440" ht="14.25" customHeight="1">
      <c r="M440" s="32"/>
    </row>
    <row r="441" ht="14.25" customHeight="1">
      <c r="M441" s="32"/>
    </row>
    <row r="442" ht="14.25" customHeight="1">
      <c r="M442" s="32"/>
    </row>
    <row r="443" ht="14.25" customHeight="1">
      <c r="M443" s="32"/>
    </row>
    <row r="444" ht="14.25" customHeight="1">
      <c r="M444" s="32"/>
    </row>
    <row r="445" ht="14.25" customHeight="1">
      <c r="M445" s="32"/>
    </row>
    <row r="446" ht="14.25" customHeight="1">
      <c r="M446" s="32"/>
    </row>
    <row r="447" ht="14.25" customHeight="1">
      <c r="M447" s="32"/>
    </row>
    <row r="448" ht="14.25" customHeight="1">
      <c r="M448" s="32"/>
    </row>
    <row r="449" ht="14.25" customHeight="1">
      <c r="M449" s="32"/>
    </row>
    <row r="450" ht="14.25" customHeight="1">
      <c r="M450" s="32"/>
    </row>
    <row r="451" ht="14.25" customHeight="1">
      <c r="M451" s="32"/>
    </row>
    <row r="452" ht="14.25" customHeight="1">
      <c r="M452" s="32"/>
    </row>
    <row r="453" ht="14.25" customHeight="1">
      <c r="M453" s="32"/>
    </row>
    <row r="454" ht="14.25" customHeight="1">
      <c r="M454" s="32"/>
    </row>
    <row r="455" ht="14.25" customHeight="1">
      <c r="M455" s="32"/>
    </row>
    <row r="456" ht="14.25" customHeight="1">
      <c r="M456" s="32"/>
    </row>
    <row r="457" ht="14.25" customHeight="1">
      <c r="M457" s="32"/>
    </row>
    <row r="458" ht="14.25" customHeight="1">
      <c r="M458" s="32"/>
    </row>
    <row r="459" ht="14.25" customHeight="1">
      <c r="M459" s="32"/>
    </row>
    <row r="460" ht="14.25" customHeight="1">
      <c r="M460" s="32"/>
    </row>
    <row r="461" ht="14.25" customHeight="1">
      <c r="M461" s="32"/>
    </row>
    <row r="462" ht="14.25" customHeight="1">
      <c r="M462" s="32"/>
    </row>
    <row r="463" ht="14.25" customHeight="1">
      <c r="M463" s="32"/>
    </row>
    <row r="464" ht="14.25" customHeight="1">
      <c r="M464" s="32"/>
    </row>
    <row r="465" ht="14.25" customHeight="1">
      <c r="M465" s="32"/>
    </row>
    <row r="466" ht="14.25" customHeight="1">
      <c r="M466" s="32"/>
    </row>
    <row r="467" ht="14.25" customHeight="1">
      <c r="M467" s="32"/>
    </row>
    <row r="468" ht="14.25" customHeight="1">
      <c r="M468" s="32"/>
    </row>
    <row r="469" ht="14.25" customHeight="1">
      <c r="M469" s="32"/>
    </row>
    <row r="470" ht="14.25" customHeight="1">
      <c r="M470" s="32"/>
    </row>
    <row r="471" ht="14.25" customHeight="1">
      <c r="M471" s="32"/>
    </row>
    <row r="472" ht="14.25" customHeight="1">
      <c r="M472" s="32"/>
    </row>
    <row r="473" ht="14.25" customHeight="1">
      <c r="M473" s="32"/>
    </row>
    <row r="474" ht="14.25" customHeight="1">
      <c r="M474" s="32"/>
    </row>
    <row r="475" ht="14.25" customHeight="1">
      <c r="M475" s="32"/>
    </row>
    <row r="476" ht="14.25" customHeight="1">
      <c r="M476" s="32"/>
    </row>
    <row r="477" ht="14.25" customHeight="1">
      <c r="M477" s="32"/>
    </row>
    <row r="478" ht="14.25" customHeight="1">
      <c r="M478" s="32"/>
    </row>
    <row r="479" ht="14.25" customHeight="1">
      <c r="M479" s="32"/>
    </row>
    <row r="480" ht="14.25" customHeight="1">
      <c r="M480" s="32"/>
    </row>
    <row r="481" ht="14.25" customHeight="1">
      <c r="M481" s="32"/>
    </row>
    <row r="482" ht="14.25" customHeight="1">
      <c r="M482" s="32"/>
    </row>
    <row r="483" ht="14.25" customHeight="1">
      <c r="M483" s="32"/>
    </row>
    <row r="484" ht="14.25" customHeight="1">
      <c r="M484" s="32"/>
    </row>
    <row r="485" ht="14.25" customHeight="1">
      <c r="M485" s="32"/>
    </row>
    <row r="486" ht="14.25" customHeight="1">
      <c r="M486" s="32"/>
    </row>
    <row r="487" ht="14.25" customHeight="1">
      <c r="M487" s="32"/>
    </row>
    <row r="488" ht="14.25" customHeight="1">
      <c r="M488" s="32"/>
    </row>
    <row r="489" ht="14.25" customHeight="1">
      <c r="M489" s="32"/>
    </row>
    <row r="490" ht="14.25" customHeight="1">
      <c r="M490" s="32"/>
    </row>
    <row r="491" ht="14.25" customHeight="1">
      <c r="M491" s="32"/>
    </row>
    <row r="492" ht="14.25" customHeight="1">
      <c r="M492" s="32"/>
    </row>
    <row r="493" ht="14.25" customHeight="1">
      <c r="M493" s="32"/>
    </row>
    <row r="494" ht="14.25" customHeight="1">
      <c r="M494" s="32"/>
    </row>
    <row r="495" ht="14.25" customHeight="1">
      <c r="M495" s="32"/>
    </row>
    <row r="496" ht="14.25" customHeight="1">
      <c r="M496" s="32"/>
    </row>
    <row r="497" ht="14.25" customHeight="1">
      <c r="M497" s="32"/>
    </row>
    <row r="498" ht="14.25" customHeight="1">
      <c r="M498" s="32"/>
    </row>
    <row r="499" ht="14.25" customHeight="1">
      <c r="M499" s="32"/>
    </row>
    <row r="500" ht="14.25" customHeight="1">
      <c r="M500" s="32"/>
    </row>
    <row r="501" ht="14.25" customHeight="1">
      <c r="M501" s="32"/>
    </row>
    <row r="502" ht="14.25" customHeight="1">
      <c r="M502" s="32"/>
    </row>
    <row r="503" ht="14.25" customHeight="1">
      <c r="M503" s="32"/>
    </row>
    <row r="504" ht="14.25" customHeight="1">
      <c r="M504" s="32"/>
    </row>
    <row r="505" ht="14.25" customHeight="1">
      <c r="M505" s="32"/>
    </row>
    <row r="506" ht="14.25" customHeight="1">
      <c r="M506" s="32"/>
    </row>
    <row r="507" ht="14.25" customHeight="1">
      <c r="M507" s="32"/>
    </row>
    <row r="508" ht="14.25" customHeight="1">
      <c r="M508" s="32"/>
    </row>
    <row r="509" ht="14.25" customHeight="1">
      <c r="M509" s="32"/>
    </row>
    <row r="510" ht="14.25" customHeight="1">
      <c r="M510" s="32"/>
    </row>
    <row r="511" ht="14.25" customHeight="1">
      <c r="M511" s="32"/>
    </row>
    <row r="512" ht="14.25" customHeight="1">
      <c r="M512" s="32"/>
    </row>
    <row r="513" ht="14.25" customHeight="1">
      <c r="M513" s="32"/>
    </row>
    <row r="514" ht="14.25" customHeight="1">
      <c r="M514" s="32"/>
    </row>
    <row r="515" ht="14.25" customHeight="1">
      <c r="M515" s="32"/>
    </row>
    <row r="516" ht="14.25" customHeight="1">
      <c r="M516" s="32"/>
    </row>
    <row r="517" ht="14.25" customHeight="1">
      <c r="M517" s="32"/>
    </row>
    <row r="518" ht="14.25" customHeight="1">
      <c r="M518" s="32"/>
    </row>
    <row r="519" ht="14.25" customHeight="1">
      <c r="M519" s="32"/>
    </row>
    <row r="520" ht="14.25" customHeight="1">
      <c r="M520" s="32"/>
    </row>
    <row r="521" ht="14.25" customHeight="1">
      <c r="M521" s="32"/>
    </row>
    <row r="522" ht="14.25" customHeight="1">
      <c r="M522" s="32"/>
    </row>
    <row r="523" ht="14.25" customHeight="1">
      <c r="M523" s="32"/>
    </row>
    <row r="524" ht="14.25" customHeight="1">
      <c r="M524" s="32"/>
    </row>
    <row r="525" ht="14.25" customHeight="1">
      <c r="M525" s="32"/>
    </row>
    <row r="526" ht="14.25" customHeight="1">
      <c r="M526" s="32"/>
    </row>
    <row r="527" ht="14.25" customHeight="1">
      <c r="M527" s="32"/>
    </row>
    <row r="528" ht="14.25" customHeight="1">
      <c r="M528" s="32"/>
    </row>
    <row r="529" ht="14.25" customHeight="1">
      <c r="M529" s="32"/>
    </row>
    <row r="530" ht="14.25" customHeight="1">
      <c r="M530" s="32"/>
    </row>
    <row r="531" ht="14.25" customHeight="1">
      <c r="M531" s="32"/>
    </row>
    <row r="532" ht="14.25" customHeight="1">
      <c r="M532" s="32"/>
    </row>
    <row r="533" ht="14.25" customHeight="1">
      <c r="M533" s="32"/>
    </row>
    <row r="534" ht="14.25" customHeight="1">
      <c r="M534" s="32"/>
    </row>
    <row r="535" ht="14.25" customHeight="1">
      <c r="M535" s="32"/>
    </row>
    <row r="536" ht="14.25" customHeight="1">
      <c r="M536" s="32"/>
    </row>
    <row r="537" ht="14.25" customHeight="1">
      <c r="M537" s="32"/>
    </row>
    <row r="538" ht="14.25" customHeight="1">
      <c r="M538" s="32"/>
    </row>
    <row r="539" ht="14.25" customHeight="1">
      <c r="M539" s="32"/>
    </row>
    <row r="540" ht="14.25" customHeight="1">
      <c r="M540" s="32"/>
    </row>
    <row r="541" ht="14.25" customHeight="1">
      <c r="M541" s="32"/>
    </row>
    <row r="542" ht="14.25" customHeight="1">
      <c r="M542" s="32"/>
    </row>
    <row r="543" ht="14.25" customHeight="1">
      <c r="M543" s="32"/>
    </row>
    <row r="544" ht="14.25" customHeight="1">
      <c r="M544" s="32"/>
    </row>
    <row r="545" ht="14.25" customHeight="1">
      <c r="M545" s="32"/>
    </row>
    <row r="546" ht="14.25" customHeight="1">
      <c r="M546" s="32"/>
    </row>
    <row r="547" ht="14.25" customHeight="1">
      <c r="M547" s="32"/>
    </row>
    <row r="548" ht="14.25" customHeight="1">
      <c r="M548" s="32"/>
    </row>
    <row r="549" ht="14.25" customHeight="1">
      <c r="M549" s="32"/>
    </row>
    <row r="550" ht="14.25" customHeight="1">
      <c r="M550" s="32"/>
    </row>
    <row r="551" ht="14.25" customHeight="1">
      <c r="M551" s="32"/>
    </row>
    <row r="552" ht="14.25" customHeight="1">
      <c r="M552" s="32"/>
    </row>
    <row r="553" ht="14.25" customHeight="1">
      <c r="M553" s="32"/>
    </row>
    <row r="554" ht="14.25" customHeight="1">
      <c r="M554" s="32"/>
    </row>
    <row r="555" ht="14.25" customHeight="1">
      <c r="M555" s="32"/>
    </row>
    <row r="556" ht="14.25" customHeight="1">
      <c r="M556" s="32"/>
    </row>
    <row r="557" ht="14.25" customHeight="1">
      <c r="M557" s="32"/>
    </row>
    <row r="558" ht="14.25" customHeight="1">
      <c r="M558" s="32"/>
    </row>
    <row r="559" ht="14.25" customHeight="1">
      <c r="M559" s="32"/>
    </row>
    <row r="560" ht="14.25" customHeight="1">
      <c r="M560" s="32"/>
    </row>
    <row r="561" ht="14.25" customHeight="1">
      <c r="M561" s="32"/>
    </row>
    <row r="562" ht="14.25" customHeight="1">
      <c r="M562" s="32"/>
    </row>
    <row r="563" ht="14.25" customHeight="1">
      <c r="M563" s="32"/>
    </row>
    <row r="564" ht="14.25" customHeight="1">
      <c r="M564" s="32"/>
    </row>
    <row r="565" ht="14.25" customHeight="1">
      <c r="M565" s="32"/>
    </row>
    <row r="566" ht="14.25" customHeight="1">
      <c r="M566" s="32"/>
    </row>
    <row r="567" ht="14.25" customHeight="1">
      <c r="M567" s="32"/>
    </row>
    <row r="568" ht="14.25" customHeight="1">
      <c r="M568" s="32"/>
    </row>
    <row r="569" ht="14.25" customHeight="1">
      <c r="M569" s="32"/>
    </row>
    <row r="570" ht="14.25" customHeight="1">
      <c r="M570" s="32"/>
    </row>
    <row r="571" ht="14.25" customHeight="1">
      <c r="M571" s="32"/>
    </row>
    <row r="572" ht="14.25" customHeight="1">
      <c r="M572" s="32"/>
    </row>
    <row r="573" ht="14.25" customHeight="1">
      <c r="M573" s="32"/>
    </row>
    <row r="574" ht="14.25" customHeight="1">
      <c r="M574" s="32"/>
    </row>
    <row r="575" ht="14.25" customHeight="1">
      <c r="M575" s="32"/>
    </row>
    <row r="576" ht="14.25" customHeight="1">
      <c r="M576" s="32"/>
    </row>
    <row r="577" ht="14.25" customHeight="1">
      <c r="M577" s="32"/>
    </row>
    <row r="578" ht="14.25" customHeight="1">
      <c r="M578" s="32"/>
    </row>
    <row r="579" ht="14.25" customHeight="1">
      <c r="M579" s="32"/>
    </row>
    <row r="580" ht="14.25" customHeight="1">
      <c r="M580" s="32"/>
    </row>
    <row r="581" ht="14.25" customHeight="1">
      <c r="M581" s="32"/>
    </row>
    <row r="582" ht="14.25" customHeight="1">
      <c r="M582" s="32"/>
    </row>
    <row r="583" ht="14.25" customHeight="1">
      <c r="M583" s="32"/>
    </row>
    <row r="584" ht="14.25" customHeight="1">
      <c r="M584" s="32"/>
    </row>
    <row r="585" ht="14.25" customHeight="1">
      <c r="M585" s="32"/>
    </row>
    <row r="586" ht="14.25" customHeight="1">
      <c r="M586" s="32"/>
    </row>
    <row r="587" ht="14.25" customHeight="1">
      <c r="M587" s="32"/>
    </row>
    <row r="588" ht="14.25" customHeight="1">
      <c r="M588" s="32"/>
    </row>
    <row r="589" ht="14.25" customHeight="1">
      <c r="M589" s="32"/>
    </row>
    <row r="590" ht="14.25" customHeight="1">
      <c r="M590" s="32"/>
    </row>
    <row r="591" ht="14.25" customHeight="1">
      <c r="M591" s="32"/>
    </row>
    <row r="592" ht="14.25" customHeight="1">
      <c r="M592" s="32"/>
    </row>
    <row r="593" ht="14.25" customHeight="1">
      <c r="M593" s="32"/>
    </row>
    <row r="594" ht="14.25" customHeight="1">
      <c r="M594" s="32"/>
    </row>
    <row r="595" ht="14.25" customHeight="1">
      <c r="M595" s="32"/>
    </row>
    <row r="596" ht="14.25" customHeight="1">
      <c r="M596" s="32"/>
    </row>
    <row r="597" ht="14.25" customHeight="1">
      <c r="M597" s="32"/>
    </row>
    <row r="598" ht="14.25" customHeight="1">
      <c r="M598" s="32"/>
    </row>
    <row r="599" ht="14.25" customHeight="1">
      <c r="M599" s="32"/>
    </row>
    <row r="600" ht="14.25" customHeight="1">
      <c r="M600" s="32"/>
    </row>
    <row r="601" ht="14.25" customHeight="1">
      <c r="M601" s="32"/>
    </row>
    <row r="602" ht="14.25" customHeight="1">
      <c r="M602" s="32"/>
    </row>
    <row r="603" ht="14.25" customHeight="1">
      <c r="M603" s="32"/>
    </row>
    <row r="604" ht="14.25" customHeight="1">
      <c r="M604" s="32"/>
    </row>
    <row r="605" ht="14.25" customHeight="1">
      <c r="M605" s="32"/>
    </row>
    <row r="606" ht="14.25" customHeight="1">
      <c r="M606" s="32"/>
    </row>
    <row r="607" ht="14.25" customHeight="1">
      <c r="M607" s="32"/>
    </row>
    <row r="608" ht="14.25" customHeight="1">
      <c r="M608" s="32"/>
    </row>
    <row r="609" ht="14.25" customHeight="1">
      <c r="M609" s="32"/>
    </row>
    <row r="610" ht="14.25" customHeight="1">
      <c r="M610" s="32"/>
    </row>
    <row r="611" ht="14.25" customHeight="1">
      <c r="M611" s="32"/>
    </row>
    <row r="612" ht="14.25" customHeight="1">
      <c r="M612" s="32"/>
    </row>
    <row r="613" ht="14.25" customHeight="1">
      <c r="M613" s="32"/>
    </row>
    <row r="614" ht="14.25" customHeight="1">
      <c r="M614" s="32"/>
    </row>
    <row r="615" ht="14.25" customHeight="1">
      <c r="M615" s="32"/>
    </row>
    <row r="616" ht="14.25" customHeight="1">
      <c r="M616" s="32"/>
    </row>
    <row r="617" ht="14.25" customHeight="1">
      <c r="M617" s="32"/>
    </row>
    <row r="618" ht="14.25" customHeight="1">
      <c r="M618" s="32"/>
    </row>
    <row r="619" ht="14.25" customHeight="1">
      <c r="M619" s="32"/>
    </row>
    <row r="620" ht="14.25" customHeight="1">
      <c r="M620" s="32"/>
    </row>
    <row r="621" ht="14.25" customHeight="1">
      <c r="M621" s="32"/>
    </row>
    <row r="622" ht="14.25" customHeight="1">
      <c r="M622" s="32"/>
    </row>
    <row r="623" ht="14.25" customHeight="1">
      <c r="M623" s="32"/>
    </row>
    <row r="624" ht="14.25" customHeight="1">
      <c r="M624" s="32"/>
    </row>
    <row r="625" ht="14.25" customHeight="1">
      <c r="M625" s="32"/>
    </row>
    <row r="626" ht="14.25" customHeight="1">
      <c r="M626" s="32"/>
    </row>
    <row r="627" ht="14.25" customHeight="1">
      <c r="M627" s="32"/>
    </row>
    <row r="628" ht="14.25" customHeight="1">
      <c r="M628" s="32"/>
    </row>
    <row r="629" ht="14.25" customHeight="1">
      <c r="M629" s="32"/>
    </row>
    <row r="630" ht="14.25" customHeight="1">
      <c r="M630" s="32"/>
    </row>
    <row r="631" ht="14.25" customHeight="1">
      <c r="M631" s="32"/>
    </row>
    <row r="632" ht="14.25" customHeight="1">
      <c r="M632" s="32"/>
    </row>
    <row r="633" ht="14.25" customHeight="1">
      <c r="M633" s="32"/>
    </row>
    <row r="634" ht="14.25" customHeight="1">
      <c r="M634" s="32"/>
    </row>
    <row r="635" ht="14.25" customHeight="1">
      <c r="M635" s="32"/>
    </row>
    <row r="636" ht="14.25" customHeight="1">
      <c r="M636" s="32"/>
    </row>
    <row r="637" ht="14.25" customHeight="1">
      <c r="M637" s="32"/>
    </row>
    <row r="638" ht="14.25" customHeight="1">
      <c r="M638" s="32"/>
    </row>
    <row r="639" ht="14.25" customHeight="1">
      <c r="M639" s="32"/>
    </row>
    <row r="640" ht="14.25" customHeight="1">
      <c r="M640" s="32"/>
    </row>
    <row r="641" ht="14.25" customHeight="1">
      <c r="M641" s="32"/>
    </row>
    <row r="642" ht="14.25" customHeight="1">
      <c r="M642" s="32"/>
    </row>
    <row r="643" ht="14.25" customHeight="1">
      <c r="M643" s="32"/>
    </row>
    <row r="644" ht="14.25" customHeight="1">
      <c r="M644" s="32"/>
    </row>
    <row r="645" ht="14.25" customHeight="1">
      <c r="M645" s="32"/>
    </row>
    <row r="646" ht="14.25" customHeight="1">
      <c r="M646" s="32"/>
    </row>
    <row r="647" ht="14.25" customHeight="1">
      <c r="M647" s="32"/>
    </row>
    <row r="648" ht="14.25" customHeight="1">
      <c r="M648" s="32"/>
    </row>
    <row r="649" ht="14.25" customHeight="1">
      <c r="M649" s="32"/>
    </row>
    <row r="650" ht="14.25" customHeight="1">
      <c r="M650" s="32"/>
    </row>
    <row r="651" ht="14.25" customHeight="1">
      <c r="M651" s="32"/>
    </row>
    <row r="652" ht="14.25" customHeight="1">
      <c r="M652" s="32"/>
    </row>
    <row r="653" ht="14.25" customHeight="1">
      <c r="M653" s="32"/>
    </row>
    <row r="654" ht="14.25" customHeight="1">
      <c r="M654" s="32"/>
    </row>
    <row r="655" ht="14.25" customHeight="1">
      <c r="M655" s="32"/>
    </row>
    <row r="656" ht="14.25" customHeight="1">
      <c r="M656" s="32"/>
    </row>
    <row r="657" ht="14.25" customHeight="1">
      <c r="M657" s="32"/>
    </row>
    <row r="658" ht="14.25" customHeight="1">
      <c r="M658" s="32"/>
    </row>
    <row r="659" ht="14.25" customHeight="1">
      <c r="M659" s="32"/>
    </row>
    <row r="660" ht="14.25" customHeight="1">
      <c r="M660" s="32"/>
    </row>
    <row r="661" ht="14.25" customHeight="1">
      <c r="M661" s="32"/>
    </row>
    <row r="662" ht="14.25" customHeight="1">
      <c r="M662" s="32"/>
    </row>
    <row r="663" ht="14.25" customHeight="1">
      <c r="M663" s="32"/>
    </row>
    <row r="664" ht="14.25" customHeight="1">
      <c r="M664" s="32"/>
    </row>
    <row r="665" ht="14.25" customHeight="1">
      <c r="M665" s="32"/>
    </row>
    <row r="666" ht="14.25" customHeight="1">
      <c r="M666" s="32"/>
    </row>
    <row r="667" ht="14.25" customHeight="1">
      <c r="M667" s="32"/>
    </row>
    <row r="668" ht="14.25" customHeight="1">
      <c r="M668" s="32"/>
    </row>
    <row r="669" ht="14.25" customHeight="1">
      <c r="M669" s="32"/>
    </row>
    <row r="670" ht="14.25" customHeight="1">
      <c r="M670" s="32"/>
    </row>
    <row r="671" ht="14.25" customHeight="1">
      <c r="M671" s="32"/>
    </row>
    <row r="672" ht="14.25" customHeight="1">
      <c r="M672" s="32"/>
    </row>
    <row r="673" ht="14.25" customHeight="1">
      <c r="M673" s="32"/>
    </row>
    <row r="674" ht="14.25" customHeight="1">
      <c r="M674" s="32"/>
    </row>
    <row r="675" ht="14.25" customHeight="1">
      <c r="M675" s="32"/>
    </row>
    <row r="676" ht="14.25" customHeight="1">
      <c r="M676" s="32"/>
    </row>
    <row r="677" ht="14.25" customHeight="1">
      <c r="M677" s="32"/>
    </row>
    <row r="678" ht="14.25" customHeight="1">
      <c r="M678" s="32"/>
    </row>
    <row r="679" ht="14.25" customHeight="1">
      <c r="M679" s="32"/>
    </row>
    <row r="680" ht="14.25" customHeight="1">
      <c r="M680" s="32"/>
    </row>
    <row r="681" ht="14.25" customHeight="1">
      <c r="M681" s="32"/>
    </row>
    <row r="682" ht="14.25" customHeight="1">
      <c r="M682" s="32"/>
    </row>
    <row r="683" ht="14.25" customHeight="1">
      <c r="M683" s="32"/>
    </row>
    <row r="684" ht="14.25" customHeight="1">
      <c r="M684" s="32"/>
    </row>
    <row r="685" ht="14.25" customHeight="1">
      <c r="M685" s="32"/>
    </row>
    <row r="686" ht="14.25" customHeight="1">
      <c r="M686" s="32"/>
    </row>
    <row r="687" ht="14.25" customHeight="1">
      <c r="M687" s="32"/>
    </row>
    <row r="688" ht="14.25" customHeight="1">
      <c r="M688" s="32"/>
    </row>
    <row r="689" ht="14.25" customHeight="1">
      <c r="M689" s="32"/>
    </row>
    <row r="690" ht="14.25" customHeight="1">
      <c r="M690" s="32"/>
    </row>
    <row r="691" ht="14.25" customHeight="1">
      <c r="M691" s="32"/>
    </row>
    <row r="692" ht="14.25" customHeight="1">
      <c r="M692" s="32"/>
    </row>
    <row r="693" ht="14.25" customHeight="1">
      <c r="M693" s="32"/>
    </row>
    <row r="694" ht="14.25" customHeight="1">
      <c r="M694" s="32"/>
    </row>
    <row r="695" ht="14.25" customHeight="1">
      <c r="M695" s="32"/>
    </row>
    <row r="696" ht="14.25" customHeight="1">
      <c r="M696" s="32"/>
    </row>
    <row r="697" ht="14.25" customHeight="1">
      <c r="M697" s="32"/>
    </row>
    <row r="698" ht="14.25" customHeight="1">
      <c r="M698" s="32"/>
    </row>
    <row r="699" ht="14.25" customHeight="1">
      <c r="M699" s="32"/>
    </row>
    <row r="700" ht="14.25" customHeight="1">
      <c r="M700" s="32"/>
    </row>
    <row r="701" ht="14.25" customHeight="1">
      <c r="M701" s="32"/>
    </row>
    <row r="702" ht="14.25" customHeight="1">
      <c r="M702" s="32"/>
    </row>
    <row r="703" ht="14.25" customHeight="1">
      <c r="M703" s="32"/>
    </row>
    <row r="704" ht="14.25" customHeight="1">
      <c r="M704" s="32"/>
    </row>
    <row r="705" ht="14.25" customHeight="1">
      <c r="M705" s="32"/>
    </row>
    <row r="706" ht="14.25" customHeight="1">
      <c r="M706" s="32"/>
    </row>
    <row r="707" ht="14.25" customHeight="1">
      <c r="M707" s="32"/>
    </row>
    <row r="708" ht="14.25" customHeight="1">
      <c r="M708" s="32"/>
    </row>
    <row r="709" ht="14.25" customHeight="1">
      <c r="M709" s="32"/>
    </row>
    <row r="710" ht="14.25" customHeight="1">
      <c r="M710" s="32"/>
    </row>
    <row r="711" ht="14.25" customHeight="1">
      <c r="M711" s="32"/>
    </row>
    <row r="712" ht="14.25" customHeight="1">
      <c r="M712" s="32"/>
    </row>
    <row r="713" ht="14.25" customHeight="1">
      <c r="M713" s="32"/>
    </row>
    <row r="714" ht="14.25" customHeight="1">
      <c r="M714" s="32"/>
    </row>
    <row r="715" ht="14.25" customHeight="1">
      <c r="M715" s="32"/>
    </row>
    <row r="716" ht="14.25" customHeight="1">
      <c r="M716" s="32"/>
    </row>
    <row r="717" ht="14.25" customHeight="1">
      <c r="M717" s="32"/>
    </row>
    <row r="718" ht="14.25" customHeight="1">
      <c r="M718" s="32"/>
    </row>
    <row r="719" ht="14.25" customHeight="1">
      <c r="M719" s="32"/>
    </row>
    <row r="720" ht="14.25" customHeight="1">
      <c r="M720" s="32"/>
    </row>
    <row r="721" ht="14.25" customHeight="1">
      <c r="M721" s="32"/>
    </row>
    <row r="722" ht="14.25" customHeight="1">
      <c r="M722" s="32"/>
    </row>
    <row r="723" ht="14.25" customHeight="1">
      <c r="M723" s="32"/>
    </row>
    <row r="724" ht="14.25" customHeight="1">
      <c r="M724" s="32"/>
    </row>
    <row r="725" ht="14.25" customHeight="1">
      <c r="M725" s="32"/>
    </row>
    <row r="726" ht="14.25" customHeight="1">
      <c r="M726" s="32"/>
    </row>
    <row r="727" ht="14.25" customHeight="1">
      <c r="M727" s="32"/>
    </row>
    <row r="728" ht="14.25" customHeight="1">
      <c r="M728" s="32"/>
    </row>
    <row r="729" ht="14.25" customHeight="1">
      <c r="M729" s="32"/>
    </row>
    <row r="730" ht="14.25" customHeight="1">
      <c r="M730" s="32"/>
    </row>
    <row r="731" ht="14.25" customHeight="1">
      <c r="M731" s="32"/>
    </row>
    <row r="732" ht="14.25" customHeight="1">
      <c r="M732" s="32"/>
    </row>
    <row r="733" ht="14.25" customHeight="1">
      <c r="M733" s="32"/>
    </row>
    <row r="734" ht="14.25" customHeight="1">
      <c r="M734" s="32"/>
    </row>
    <row r="735" ht="14.25" customHeight="1">
      <c r="M735" s="32"/>
    </row>
    <row r="736" ht="14.25" customHeight="1">
      <c r="M736" s="32"/>
    </row>
    <row r="737" ht="14.25" customHeight="1">
      <c r="M737" s="32"/>
    </row>
    <row r="738" ht="14.25" customHeight="1">
      <c r="M738" s="32"/>
    </row>
    <row r="739" ht="14.25" customHeight="1">
      <c r="M739" s="32"/>
    </row>
    <row r="740" ht="14.25" customHeight="1">
      <c r="M740" s="32"/>
    </row>
    <row r="741" ht="14.25" customHeight="1">
      <c r="M741" s="32"/>
    </row>
    <row r="742" ht="14.25" customHeight="1">
      <c r="M742" s="32"/>
    </row>
    <row r="743" ht="14.25" customHeight="1">
      <c r="M743" s="32"/>
    </row>
    <row r="744" ht="14.25" customHeight="1">
      <c r="M744" s="32"/>
    </row>
    <row r="745" ht="14.25" customHeight="1">
      <c r="M745" s="32"/>
    </row>
    <row r="746" ht="14.25" customHeight="1">
      <c r="M746" s="32"/>
    </row>
    <row r="747" ht="14.25" customHeight="1">
      <c r="M747" s="32"/>
    </row>
    <row r="748" ht="14.25" customHeight="1">
      <c r="M748" s="32"/>
    </row>
    <row r="749" ht="14.25" customHeight="1">
      <c r="M749" s="32"/>
    </row>
    <row r="750" ht="14.25" customHeight="1">
      <c r="M750" s="32"/>
    </row>
    <row r="751" ht="14.25" customHeight="1">
      <c r="M751" s="32"/>
    </row>
    <row r="752" ht="14.25" customHeight="1">
      <c r="M752" s="32"/>
    </row>
    <row r="753" ht="14.25" customHeight="1">
      <c r="M753" s="32"/>
    </row>
    <row r="754" ht="14.25" customHeight="1">
      <c r="M754" s="32"/>
    </row>
    <row r="755" ht="14.25" customHeight="1">
      <c r="M755" s="32"/>
    </row>
    <row r="756" ht="14.25" customHeight="1">
      <c r="M756" s="32"/>
    </row>
    <row r="757" ht="14.25" customHeight="1">
      <c r="M757" s="32"/>
    </row>
    <row r="758" ht="14.25" customHeight="1">
      <c r="M758" s="32"/>
    </row>
    <row r="759" ht="14.25" customHeight="1">
      <c r="M759" s="32"/>
    </row>
    <row r="760" ht="14.25" customHeight="1">
      <c r="M760" s="32"/>
    </row>
    <row r="761" ht="14.25" customHeight="1">
      <c r="M761" s="32"/>
    </row>
    <row r="762" ht="14.25" customHeight="1">
      <c r="M762" s="32"/>
    </row>
    <row r="763" ht="14.25" customHeight="1">
      <c r="M763" s="32"/>
    </row>
    <row r="764" ht="14.25" customHeight="1">
      <c r="M764" s="32"/>
    </row>
    <row r="765" ht="14.25" customHeight="1">
      <c r="M765" s="32"/>
    </row>
    <row r="766" ht="14.25" customHeight="1">
      <c r="M766" s="32"/>
    </row>
    <row r="767" ht="14.25" customHeight="1">
      <c r="M767" s="32"/>
    </row>
    <row r="768" ht="14.25" customHeight="1">
      <c r="M768" s="32"/>
    </row>
    <row r="769" ht="14.25" customHeight="1">
      <c r="M769" s="32"/>
    </row>
    <row r="770" ht="14.25" customHeight="1">
      <c r="M770" s="32"/>
    </row>
    <row r="771" ht="14.25" customHeight="1">
      <c r="M771" s="32"/>
    </row>
    <row r="772" ht="14.25" customHeight="1">
      <c r="M772" s="32"/>
    </row>
    <row r="773" ht="14.25" customHeight="1">
      <c r="M773" s="32"/>
    </row>
    <row r="774" ht="14.25" customHeight="1">
      <c r="M774" s="32"/>
    </row>
    <row r="775" ht="14.25" customHeight="1">
      <c r="M775" s="32"/>
    </row>
    <row r="776" ht="14.25" customHeight="1">
      <c r="M776" s="32"/>
    </row>
    <row r="777" ht="14.25" customHeight="1">
      <c r="M777" s="32"/>
    </row>
    <row r="778" ht="14.25" customHeight="1">
      <c r="M778" s="32"/>
    </row>
    <row r="779" ht="14.25" customHeight="1">
      <c r="M779" s="32"/>
    </row>
    <row r="780" ht="14.25" customHeight="1">
      <c r="M780" s="32"/>
    </row>
    <row r="781" ht="14.25" customHeight="1">
      <c r="M781" s="32"/>
    </row>
    <row r="782" ht="14.25" customHeight="1">
      <c r="M782" s="32"/>
    </row>
    <row r="783" ht="14.25" customHeight="1">
      <c r="M783" s="32"/>
    </row>
    <row r="784" ht="14.25" customHeight="1">
      <c r="M784" s="32"/>
    </row>
    <row r="785" ht="14.25" customHeight="1">
      <c r="M785" s="32"/>
    </row>
    <row r="786" ht="14.25" customHeight="1">
      <c r="M786" s="32"/>
    </row>
    <row r="787" ht="14.25" customHeight="1">
      <c r="M787" s="32"/>
    </row>
    <row r="788" ht="14.25" customHeight="1">
      <c r="M788" s="32"/>
    </row>
    <row r="789" ht="14.25" customHeight="1">
      <c r="M789" s="32"/>
    </row>
    <row r="790" ht="14.25" customHeight="1">
      <c r="M790" s="32"/>
    </row>
    <row r="791" ht="14.25" customHeight="1">
      <c r="M791" s="32"/>
    </row>
    <row r="792" ht="14.25" customHeight="1">
      <c r="M792" s="32"/>
    </row>
    <row r="793" ht="14.25" customHeight="1">
      <c r="M793" s="32"/>
    </row>
    <row r="794" ht="14.25" customHeight="1">
      <c r="M794" s="32"/>
    </row>
    <row r="795" ht="14.25" customHeight="1">
      <c r="M795" s="32"/>
    </row>
    <row r="796" ht="14.25" customHeight="1">
      <c r="M796" s="32"/>
    </row>
    <row r="797" ht="14.25" customHeight="1">
      <c r="M797" s="32"/>
    </row>
    <row r="798" ht="14.25" customHeight="1">
      <c r="M798" s="32"/>
    </row>
    <row r="799" ht="14.25" customHeight="1">
      <c r="M799" s="32"/>
    </row>
    <row r="800" ht="14.25" customHeight="1">
      <c r="M800" s="32"/>
    </row>
    <row r="801" ht="14.25" customHeight="1">
      <c r="M801" s="32"/>
    </row>
    <row r="802" ht="14.25" customHeight="1">
      <c r="M802" s="32"/>
    </row>
    <row r="803" ht="14.25" customHeight="1">
      <c r="M803" s="32"/>
    </row>
    <row r="804" ht="14.25" customHeight="1">
      <c r="M804" s="32"/>
    </row>
    <row r="805" ht="14.25" customHeight="1">
      <c r="M805" s="32"/>
    </row>
    <row r="806" ht="14.25" customHeight="1">
      <c r="M806" s="32"/>
    </row>
    <row r="807" ht="14.25" customHeight="1">
      <c r="M807" s="32"/>
    </row>
    <row r="808" ht="14.25" customHeight="1">
      <c r="M808" s="32"/>
    </row>
    <row r="809" ht="14.25" customHeight="1">
      <c r="M809" s="32"/>
    </row>
    <row r="810" ht="14.25" customHeight="1">
      <c r="M810" s="32"/>
    </row>
    <row r="811" ht="14.25" customHeight="1">
      <c r="M811" s="32"/>
    </row>
    <row r="812" ht="14.25" customHeight="1">
      <c r="M812" s="32"/>
    </row>
    <row r="813" ht="14.25" customHeight="1">
      <c r="M813" s="32"/>
    </row>
    <row r="814" ht="14.25" customHeight="1">
      <c r="M814" s="32"/>
    </row>
    <row r="815" ht="14.25" customHeight="1">
      <c r="M815" s="32"/>
    </row>
    <row r="816" ht="14.25" customHeight="1">
      <c r="M816" s="32"/>
    </row>
    <row r="817" ht="14.25" customHeight="1">
      <c r="M817" s="32"/>
    </row>
    <row r="818" ht="14.25" customHeight="1">
      <c r="M818" s="32"/>
    </row>
    <row r="819" ht="14.25" customHeight="1">
      <c r="M819" s="32"/>
    </row>
    <row r="820" ht="14.25" customHeight="1">
      <c r="M820" s="32"/>
    </row>
    <row r="821" ht="14.25" customHeight="1">
      <c r="M821" s="32"/>
    </row>
    <row r="822" ht="14.25" customHeight="1">
      <c r="M822" s="32"/>
    </row>
    <row r="823" ht="14.25" customHeight="1">
      <c r="M823" s="32"/>
    </row>
    <row r="824" ht="14.25" customHeight="1">
      <c r="M824" s="32"/>
    </row>
    <row r="825" ht="14.25" customHeight="1">
      <c r="M825" s="32"/>
    </row>
    <row r="826" ht="14.25" customHeight="1">
      <c r="M826" s="32"/>
    </row>
    <row r="827" ht="14.25" customHeight="1">
      <c r="M827" s="32"/>
    </row>
    <row r="828" ht="14.25" customHeight="1">
      <c r="M828" s="32"/>
    </row>
    <row r="829" ht="14.25" customHeight="1">
      <c r="M829" s="32"/>
    </row>
    <row r="830" ht="14.25" customHeight="1">
      <c r="M830" s="32"/>
    </row>
    <row r="831" ht="14.25" customHeight="1">
      <c r="M831" s="32"/>
    </row>
    <row r="832" ht="14.25" customHeight="1">
      <c r="M832" s="32"/>
    </row>
    <row r="833" ht="14.25" customHeight="1">
      <c r="M833" s="32"/>
    </row>
    <row r="834" ht="14.25" customHeight="1">
      <c r="M834" s="32"/>
    </row>
    <row r="835" ht="14.25" customHeight="1">
      <c r="M835" s="32"/>
    </row>
    <row r="836" ht="14.25" customHeight="1">
      <c r="M836" s="32"/>
    </row>
    <row r="837" ht="14.25" customHeight="1">
      <c r="M837" s="32"/>
    </row>
    <row r="838" ht="14.25" customHeight="1">
      <c r="M838" s="32"/>
    </row>
    <row r="839" ht="14.25" customHeight="1">
      <c r="M839" s="32"/>
    </row>
    <row r="840" ht="14.25" customHeight="1">
      <c r="M840" s="32"/>
    </row>
    <row r="841" ht="14.25" customHeight="1">
      <c r="M841" s="32"/>
    </row>
    <row r="842" ht="14.25" customHeight="1">
      <c r="M842" s="32"/>
    </row>
    <row r="843" ht="14.25" customHeight="1">
      <c r="M843" s="32"/>
    </row>
    <row r="844" ht="14.25" customHeight="1">
      <c r="M844" s="32"/>
    </row>
    <row r="845" ht="14.25" customHeight="1">
      <c r="M845" s="32"/>
    </row>
    <row r="846" ht="14.25" customHeight="1">
      <c r="M846" s="32"/>
    </row>
    <row r="847" ht="14.25" customHeight="1">
      <c r="M847" s="32"/>
    </row>
    <row r="848" ht="14.25" customHeight="1">
      <c r="M848" s="32"/>
    </row>
    <row r="849" ht="14.25" customHeight="1">
      <c r="M849" s="32"/>
    </row>
    <row r="850" ht="14.25" customHeight="1">
      <c r="M850" s="32"/>
    </row>
    <row r="851" ht="14.25" customHeight="1">
      <c r="M851" s="32"/>
    </row>
    <row r="852" ht="14.25" customHeight="1">
      <c r="M852" s="32"/>
    </row>
    <row r="853" ht="14.25" customHeight="1">
      <c r="M853" s="32"/>
    </row>
    <row r="854" ht="14.25" customHeight="1">
      <c r="M854" s="32"/>
    </row>
    <row r="855" ht="14.25" customHeight="1">
      <c r="M855" s="32"/>
    </row>
    <row r="856" ht="14.25" customHeight="1">
      <c r="M856" s="32"/>
    </row>
    <row r="857" ht="14.25" customHeight="1">
      <c r="M857" s="32"/>
    </row>
    <row r="858" ht="14.25" customHeight="1">
      <c r="M858" s="32"/>
    </row>
    <row r="859" ht="14.25" customHeight="1">
      <c r="M859" s="32"/>
    </row>
    <row r="860" ht="14.25" customHeight="1">
      <c r="M860" s="32"/>
    </row>
    <row r="861" ht="14.25" customHeight="1">
      <c r="M861" s="32"/>
    </row>
    <row r="862" ht="14.25" customHeight="1">
      <c r="M862" s="32"/>
    </row>
    <row r="863" ht="14.25" customHeight="1">
      <c r="M863" s="32"/>
    </row>
    <row r="864" ht="14.25" customHeight="1">
      <c r="M864" s="32"/>
    </row>
    <row r="865" ht="14.25" customHeight="1">
      <c r="M865" s="32"/>
    </row>
    <row r="866" ht="14.25" customHeight="1">
      <c r="M866" s="32"/>
    </row>
    <row r="867" ht="14.25" customHeight="1">
      <c r="M867" s="32"/>
    </row>
    <row r="868" ht="14.25" customHeight="1">
      <c r="M868" s="32"/>
    </row>
    <row r="869" ht="14.25" customHeight="1">
      <c r="M869" s="32"/>
    </row>
    <row r="870" ht="14.25" customHeight="1">
      <c r="M870" s="32"/>
    </row>
    <row r="871" ht="14.25" customHeight="1">
      <c r="M871" s="32"/>
    </row>
    <row r="872" ht="14.25" customHeight="1">
      <c r="M872" s="32"/>
    </row>
    <row r="873" ht="14.25" customHeight="1">
      <c r="M873" s="32"/>
    </row>
    <row r="874" ht="14.25" customHeight="1">
      <c r="M874" s="32"/>
    </row>
    <row r="875" ht="14.25" customHeight="1">
      <c r="M875" s="32"/>
    </row>
    <row r="876" ht="14.25" customHeight="1">
      <c r="M876" s="32"/>
    </row>
    <row r="877" ht="14.25" customHeight="1">
      <c r="M877" s="32"/>
    </row>
    <row r="878" ht="14.25" customHeight="1">
      <c r="M878" s="32"/>
    </row>
    <row r="879" ht="14.25" customHeight="1">
      <c r="M879" s="32"/>
    </row>
    <row r="880" ht="14.25" customHeight="1">
      <c r="M880" s="32"/>
    </row>
    <row r="881" ht="14.25" customHeight="1">
      <c r="M881" s="32"/>
    </row>
    <row r="882" ht="14.25" customHeight="1">
      <c r="M882" s="32"/>
    </row>
    <row r="883" ht="14.25" customHeight="1">
      <c r="M883" s="32"/>
    </row>
    <row r="884" ht="14.25" customHeight="1">
      <c r="M884" s="32"/>
    </row>
    <row r="885" ht="14.25" customHeight="1">
      <c r="M885" s="32"/>
    </row>
    <row r="886" ht="14.25" customHeight="1">
      <c r="M886" s="32"/>
    </row>
    <row r="887" ht="14.25" customHeight="1">
      <c r="M887" s="32"/>
    </row>
    <row r="888" ht="14.25" customHeight="1">
      <c r="M888" s="32"/>
    </row>
    <row r="889" ht="14.25" customHeight="1">
      <c r="M889" s="32"/>
    </row>
    <row r="890" ht="14.25" customHeight="1">
      <c r="M890" s="32"/>
    </row>
    <row r="891" ht="14.25" customHeight="1">
      <c r="M891" s="32"/>
    </row>
    <row r="892" ht="14.25" customHeight="1">
      <c r="M892" s="32"/>
    </row>
    <row r="893" ht="14.25" customHeight="1">
      <c r="M893" s="32"/>
    </row>
    <row r="894" ht="14.25" customHeight="1">
      <c r="M894" s="32"/>
    </row>
    <row r="895" ht="14.25" customHeight="1">
      <c r="M895" s="32"/>
    </row>
    <row r="896" ht="14.25" customHeight="1">
      <c r="M896" s="32"/>
    </row>
    <row r="897" ht="14.25" customHeight="1">
      <c r="M897" s="32"/>
    </row>
    <row r="898" ht="14.25" customHeight="1">
      <c r="M898" s="32"/>
    </row>
    <row r="899" ht="14.25" customHeight="1">
      <c r="M899" s="32"/>
    </row>
    <row r="900" ht="14.25" customHeight="1">
      <c r="M900" s="32"/>
    </row>
    <row r="901" ht="14.25" customHeight="1">
      <c r="M901" s="32"/>
    </row>
    <row r="902" ht="14.25" customHeight="1">
      <c r="M902" s="32"/>
    </row>
    <row r="903" ht="14.25" customHeight="1">
      <c r="M903" s="32"/>
    </row>
    <row r="904" ht="14.25" customHeight="1">
      <c r="M904" s="32"/>
    </row>
    <row r="905" ht="14.25" customHeight="1">
      <c r="M905" s="32"/>
    </row>
    <row r="906" ht="14.25" customHeight="1">
      <c r="M906" s="32"/>
    </row>
    <row r="907" ht="14.25" customHeight="1">
      <c r="M907" s="32"/>
    </row>
    <row r="908" ht="14.25" customHeight="1">
      <c r="M908" s="32"/>
    </row>
    <row r="909" ht="14.25" customHeight="1">
      <c r="M909" s="32"/>
    </row>
    <row r="910" ht="14.25" customHeight="1">
      <c r="M910" s="32"/>
    </row>
    <row r="911" ht="14.25" customHeight="1">
      <c r="M911" s="32"/>
    </row>
    <row r="912" ht="14.25" customHeight="1">
      <c r="M912" s="32"/>
    </row>
    <row r="913" ht="14.25" customHeight="1">
      <c r="M913" s="32"/>
    </row>
    <row r="914" ht="14.25" customHeight="1">
      <c r="M914" s="32"/>
    </row>
    <row r="915" ht="14.25" customHeight="1">
      <c r="M915" s="32"/>
    </row>
    <row r="916" ht="14.25" customHeight="1">
      <c r="M916" s="32"/>
    </row>
    <row r="917" ht="14.25" customHeight="1">
      <c r="M917" s="32"/>
    </row>
    <row r="918" ht="14.25" customHeight="1">
      <c r="M918" s="32"/>
    </row>
    <row r="919" ht="14.25" customHeight="1">
      <c r="M919" s="32"/>
    </row>
    <row r="920" ht="14.25" customHeight="1">
      <c r="M920" s="32"/>
    </row>
    <row r="921" ht="14.25" customHeight="1">
      <c r="M921" s="32"/>
    </row>
    <row r="922" ht="14.25" customHeight="1">
      <c r="M922" s="32"/>
    </row>
    <row r="923" ht="14.25" customHeight="1">
      <c r="M923" s="32"/>
    </row>
    <row r="924" ht="14.25" customHeight="1">
      <c r="M924" s="32"/>
    </row>
    <row r="925" ht="14.25" customHeight="1">
      <c r="M925" s="32"/>
    </row>
    <row r="926" ht="14.25" customHeight="1">
      <c r="M926" s="32"/>
    </row>
    <row r="927" ht="14.25" customHeight="1">
      <c r="M927" s="32"/>
    </row>
    <row r="928" ht="14.25" customHeight="1">
      <c r="M928" s="32"/>
    </row>
    <row r="929" ht="14.25" customHeight="1">
      <c r="M929" s="32"/>
    </row>
    <row r="930" ht="14.25" customHeight="1">
      <c r="M930" s="32"/>
    </row>
    <row r="931" ht="14.25" customHeight="1">
      <c r="M931" s="32"/>
    </row>
    <row r="932" ht="14.25" customHeight="1">
      <c r="M932" s="32"/>
    </row>
    <row r="933" ht="14.25" customHeight="1">
      <c r="M933" s="32"/>
    </row>
    <row r="934" ht="14.25" customHeight="1">
      <c r="M934" s="32"/>
    </row>
    <row r="935" ht="14.25" customHeight="1">
      <c r="M935" s="32"/>
    </row>
    <row r="936" ht="14.25" customHeight="1">
      <c r="M936" s="32"/>
    </row>
    <row r="937" ht="14.25" customHeight="1">
      <c r="M937" s="32"/>
    </row>
    <row r="938" ht="14.25" customHeight="1">
      <c r="M938" s="32"/>
    </row>
    <row r="939" ht="14.25" customHeight="1">
      <c r="M939" s="32"/>
    </row>
    <row r="940" ht="14.25" customHeight="1">
      <c r="M940" s="32"/>
    </row>
    <row r="941" ht="14.25" customHeight="1">
      <c r="M941" s="32"/>
    </row>
    <row r="942" ht="14.25" customHeight="1">
      <c r="M942" s="32"/>
    </row>
    <row r="943" ht="14.25" customHeight="1">
      <c r="M943" s="32"/>
    </row>
    <row r="944" ht="14.25" customHeight="1">
      <c r="M944" s="32"/>
    </row>
    <row r="945" ht="14.25" customHeight="1">
      <c r="M945" s="32"/>
    </row>
    <row r="946" ht="14.25" customHeight="1">
      <c r="M946" s="32"/>
    </row>
    <row r="947" ht="14.25" customHeight="1">
      <c r="M947" s="32"/>
    </row>
    <row r="948" ht="14.25" customHeight="1">
      <c r="M948" s="32"/>
    </row>
    <row r="949" ht="14.25" customHeight="1">
      <c r="M949" s="32"/>
    </row>
    <row r="950" ht="14.25" customHeight="1">
      <c r="M950" s="32"/>
    </row>
    <row r="951" ht="14.25" customHeight="1">
      <c r="M951" s="32"/>
    </row>
    <row r="952" ht="14.25" customHeight="1">
      <c r="M952" s="32"/>
    </row>
    <row r="953" ht="14.25" customHeight="1">
      <c r="M953" s="32"/>
    </row>
    <row r="954" ht="14.25" customHeight="1">
      <c r="M954" s="32"/>
    </row>
    <row r="955" ht="14.25" customHeight="1">
      <c r="M955" s="32"/>
    </row>
    <row r="956" ht="14.25" customHeight="1">
      <c r="M956" s="32"/>
    </row>
    <row r="957" ht="14.25" customHeight="1">
      <c r="M957" s="32"/>
    </row>
    <row r="958" ht="14.25" customHeight="1">
      <c r="M958" s="32"/>
    </row>
    <row r="959" ht="14.25" customHeight="1">
      <c r="M959" s="32"/>
    </row>
    <row r="960" ht="14.25" customHeight="1">
      <c r="M960" s="32"/>
    </row>
    <row r="961" ht="14.25" customHeight="1">
      <c r="M961" s="32"/>
    </row>
    <row r="962" ht="14.25" customHeight="1">
      <c r="M962" s="32"/>
    </row>
    <row r="963" ht="14.25" customHeight="1">
      <c r="M963" s="32"/>
    </row>
    <row r="964" ht="14.25" customHeight="1">
      <c r="M964" s="32"/>
    </row>
    <row r="965" ht="14.25" customHeight="1">
      <c r="M965" s="32"/>
    </row>
    <row r="966" ht="14.25" customHeight="1">
      <c r="M966" s="32"/>
    </row>
    <row r="967" ht="14.25" customHeight="1">
      <c r="M967" s="32"/>
    </row>
    <row r="968" ht="14.25" customHeight="1">
      <c r="M968" s="32"/>
    </row>
    <row r="969" ht="14.25" customHeight="1">
      <c r="M969" s="32"/>
    </row>
    <row r="970" ht="14.25" customHeight="1">
      <c r="M970" s="32"/>
    </row>
    <row r="971" ht="14.25" customHeight="1">
      <c r="M971" s="32"/>
    </row>
    <row r="972" ht="14.25" customHeight="1">
      <c r="M972" s="32"/>
    </row>
    <row r="973" ht="14.25" customHeight="1">
      <c r="M973" s="32"/>
    </row>
    <row r="974" ht="14.25" customHeight="1">
      <c r="M974" s="32"/>
    </row>
    <row r="975" ht="14.25" customHeight="1">
      <c r="M975" s="32"/>
    </row>
    <row r="976" ht="14.25" customHeight="1">
      <c r="M976" s="32"/>
    </row>
    <row r="977" ht="14.25" customHeight="1">
      <c r="M977" s="32"/>
    </row>
    <row r="978" ht="14.25" customHeight="1">
      <c r="M978" s="32"/>
    </row>
    <row r="979" ht="14.25" customHeight="1">
      <c r="M979" s="32"/>
    </row>
    <row r="980" ht="14.25" customHeight="1">
      <c r="M980" s="32"/>
    </row>
    <row r="981" ht="14.25" customHeight="1">
      <c r="M981" s="32"/>
    </row>
    <row r="982" ht="14.25" customHeight="1">
      <c r="M982" s="32"/>
    </row>
    <row r="983" ht="14.25" customHeight="1">
      <c r="M983" s="32"/>
    </row>
    <row r="984" ht="14.25" customHeight="1">
      <c r="M984" s="32"/>
    </row>
    <row r="985" ht="14.25" customHeight="1">
      <c r="M985" s="32"/>
    </row>
    <row r="986" ht="14.25" customHeight="1">
      <c r="M986" s="32"/>
    </row>
    <row r="987" ht="14.25" customHeight="1">
      <c r="M987" s="32"/>
    </row>
    <row r="988" ht="14.25" customHeight="1">
      <c r="M988" s="32"/>
    </row>
    <row r="989" ht="14.25" customHeight="1">
      <c r="M989" s="32"/>
    </row>
    <row r="990" ht="14.25" customHeight="1">
      <c r="M990" s="32"/>
    </row>
    <row r="991" ht="14.25" customHeight="1">
      <c r="M991" s="32"/>
    </row>
    <row r="992" ht="14.25" customHeight="1">
      <c r="M992" s="32"/>
    </row>
    <row r="993" ht="14.25" customHeight="1">
      <c r="M993" s="32"/>
    </row>
    <row r="994" ht="14.25" customHeight="1">
      <c r="M994" s="32"/>
    </row>
    <row r="995" ht="14.25" customHeight="1">
      <c r="M995" s="32"/>
    </row>
    <row r="996" ht="14.25" customHeight="1">
      <c r="M996" s="32"/>
    </row>
    <row r="997" ht="14.25" customHeight="1">
      <c r="M997" s="32"/>
    </row>
    <row r="998" ht="14.25" customHeight="1">
      <c r="M998" s="32"/>
    </row>
    <row r="999" ht="14.25" customHeight="1">
      <c r="M999" s="32"/>
    </row>
    <row r="1000" ht="14.25" customHeight="1">
      <c r="M1000" s="32"/>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6"/>
    <pageSetUpPr/>
  </sheetPr>
  <sheetViews>
    <sheetView workbookViewId="0"/>
  </sheetViews>
  <sheetFormatPr customHeight="1" defaultColWidth="12.63" defaultRowHeight="15.0"/>
  <cols>
    <col customWidth="1" min="1" max="1" width="10.63"/>
    <col customWidth="1" min="2" max="5" width="18.5"/>
    <col customWidth="1" min="6" max="26" width="10.63"/>
  </cols>
  <sheetData>
    <row r="1" ht="14.25" customHeight="1">
      <c r="B1" s="39" t="s">
        <v>781</v>
      </c>
    </row>
    <row r="2" ht="14.25" customHeight="1">
      <c r="B2" s="39"/>
    </row>
    <row r="3" ht="14.25" customHeight="1">
      <c r="B3" s="40" t="s">
        <v>782</v>
      </c>
    </row>
    <row r="4" ht="14.25" customHeight="1">
      <c r="B4" s="41" t="s">
        <v>783</v>
      </c>
    </row>
    <row r="5" ht="14.25" customHeight="1"/>
    <row r="6" ht="14.25" customHeight="1"/>
    <row r="7" ht="14.25" customHeight="1"/>
    <row r="8" ht="14.25" customHeight="1"/>
    <row r="9" ht="220.5" customHeight="1"/>
    <row r="10" ht="14.25" customHeight="1">
      <c r="B10" s="39"/>
    </row>
    <row r="11" ht="14.25" customHeight="1">
      <c r="B11" s="40" t="s">
        <v>784</v>
      </c>
    </row>
    <row r="12" ht="58.5" customHeight="1">
      <c r="B12" s="41" t="s">
        <v>785</v>
      </c>
    </row>
    <row r="13" ht="14.25" customHeight="1">
      <c r="B13" s="39"/>
    </row>
    <row r="14" ht="14.25" customHeight="1">
      <c r="B14" s="42" t="s">
        <v>786</v>
      </c>
      <c r="C14" s="42" t="s">
        <v>787</v>
      </c>
      <c r="D14" s="42" t="s">
        <v>788</v>
      </c>
      <c r="E14" s="43" t="s">
        <v>789</v>
      </c>
    </row>
    <row r="15" ht="14.25" customHeight="1">
      <c r="B15" s="44" t="s">
        <v>554</v>
      </c>
      <c r="C15" s="12" t="s">
        <v>790</v>
      </c>
      <c r="D15" s="12" t="s">
        <v>791</v>
      </c>
      <c r="E15" s="45" t="s">
        <v>792</v>
      </c>
    </row>
    <row r="16" ht="14.25" customHeight="1">
      <c r="B16" s="44" t="s">
        <v>793</v>
      </c>
      <c r="C16" s="12" t="s">
        <v>794</v>
      </c>
      <c r="D16" s="12" t="s">
        <v>795</v>
      </c>
      <c r="E16" s="45" t="s">
        <v>796</v>
      </c>
    </row>
    <row r="17" ht="14.25" customHeight="1">
      <c r="B17" s="44" t="s">
        <v>797</v>
      </c>
      <c r="C17" s="12" t="s">
        <v>794</v>
      </c>
      <c r="D17" s="12" t="s">
        <v>798</v>
      </c>
      <c r="E17" s="45" t="s">
        <v>799</v>
      </c>
    </row>
    <row r="18" ht="14.25" customHeight="1">
      <c r="B18" s="44" t="s">
        <v>800</v>
      </c>
      <c r="C18" s="12" t="s">
        <v>794</v>
      </c>
      <c r="D18" s="12" t="s">
        <v>801</v>
      </c>
      <c r="E18" s="45" t="s">
        <v>802</v>
      </c>
    </row>
    <row r="19" ht="14.25" customHeight="1">
      <c r="B19" s="44" t="s">
        <v>803</v>
      </c>
      <c r="C19" s="12" t="s">
        <v>790</v>
      </c>
      <c r="D19" s="12" t="s">
        <v>804</v>
      </c>
      <c r="E19" s="45" t="s">
        <v>805</v>
      </c>
    </row>
    <row r="20" ht="14.25" customHeight="1">
      <c r="B20" s="44" t="s">
        <v>562</v>
      </c>
      <c r="C20" s="12" t="s">
        <v>790</v>
      </c>
      <c r="D20" s="12" t="s">
        <v>806</v>
      </c>
      <c r="E20" s="45" t="s">
        <v>807</v>
      </c>
    </row>
    <row r="21" ht="14.25" customHeight="1">
      <c r="B21" s="44" t="s">
        <v>808</v>
      </c>
      <c r="C21" s="12" t="s">
        <v>790</v>
      </c>
      <c r="D21" s="12" t="s">
        <v>809</v>
      </c>
      <c r="E21" s="45" t="s">
        <v>810</v>
      </c>
    </row>
    <row r="22" ht="14.25" customHeight="1">
      <c r="B22" s="44" t="s">
        <v>811</v>
      </c>
      <c r="C22" s="12" t="s">
        <v>790</v>
      </c>
      <c r="D22" s="12" t="s">
        <v>812</v>
      </c>
      <c r="E22" s="45" t="s">
        <v>813</v>
      </c>
    </row>
    <row r="23" ht="14.25" customHeight="1">
      <c r="B23" s="44" t="s">
        <v>814</v>
      </c>
      <c r="C23" s="12" t="s">
        <v>794</v>
      </c>
      <c r="D23" s="12" t="s">
        <v>815</v>
      </c>
      <c r="E23" s="45" t="s">
        <v>816</v>
      </c>
    </row>
    <row r="24" ht="14.25" customHeight="1">
      <c r="B24" s="44" t="s">
        <v>817</v>
      </c>
      <c r="C24" s="12" t="s">
        <v>818</v>
      </c>
      <c r="D24" s="12" t="s">
        <v>819</v>
      </c>
      <c r="E24" s="45" t="s">
        <v>820</v>
      </c>
    </row>
    <row r="25" ht="14.25" customHeight="1">
      <c r="B25" s="39"/>
    </row>
    <row r="26" ht="14.25" customHeight="1">
      <c r="B26" s="35" t="s">
        <v>821</v>
      </c>
    </row>
    <row r="27" ht="14.25" customHeight="1">
      <c r="B27" s="46" t="s">
        <v>822</v>
      </c>
    </row>
    <row r="28" ht="14.25" customHeight="1">
      <c r="B28" s="46" t="s">
        <v>823</v>
      </c>
    </row>
    <row r="29" ht="14.25" customHeight="1"/>
    <row r="30" ht="14.25" customHeight="1">
      <c r="B30" s="40" t="s">
        <v>824</v>
      </c>
    </row>
    <row r="31" ht="71.25" customHeight="1">
      <c r="B31" s="41" t="s">
        <v>825</v>
      </c>
    </row>
    <row r="32" ht="14.25" customHeight="1">
      <c r="B32" s="39"/>
    </row>
    <row r="33" ht="14.25" customHeight="1">
      <c r="B33" s="42" t="s">
        <v>786</v>
      </c>
      <c r="C33" s="42" t="s">
        <v>787</v>
      </c>
      <c r="D33" s="42" t="s">
        <v>788</v>
      </c>
      <c r="E33" s="42" t="s">
        <v>789</v>
      </c>
    </row>
    <row r="34" ht="14.25" customHeight="1">
      <c r="B34" s="44" t="s">
        <v>826</v>
      </c>
      <c r="C34" s="12" t="s">
        <v>827</v>
      </c>
      <c r="D34" s="12" t="s">
        <v>828</v>
      </c>
      <c r="E34" s="12" t="s">
        <v>829</v>
      </c>
    </row>
    <row r="35" ht="14.25" customHeight="1">
      <c r="B35" s="44" t="s">
        <v>830</v>
      </c>
      <c r="C35" s="12" t="s">
        <v>827</v>
      </c>
      <c r="D35" s="12" t="s">
        <v>831</v>
      </c>
      <c r="E35" s="12" t="s">
        <v>832</v>
      </c>
    </row>
    <row r="36" ht="14.25" customHeight="1">
      <c r="B36" s="44" t="s">
        <v>578</v>
      </c>
      <c r="C36" s="12" t="s">
        <v>827</v>
      </c>
      <c r="D36" s="12" t="s">
        <v>833</v>
      </c>
      <c r="E36" s="12" t="s">
        <v>834</v>
      </c>
    </row>
    <row r="37" ht="14.25" customHeight="1">
      <c r="B37" s="44" t="s">
        <v>835</v>
      </c>
      <c r="C37" s="12" t="s">
        <v>836</v>
      </c>
      <c r="D37" s="12" t="s">
        <v>837</v>
      </c>
      <c r="E37" s="12" t="s">
        <v>838</v>
      </c>
    </row>
    <row r="38" ht="14.25" customHeight="1">
      <c r="B38" s="44" t="s">
        <v>839</v>
      </c>
      <c r="C38" s="12" t="s">
        <v>836</v>
      </c>
      <c r="D38" s="12" t="s">
        <v>840</v>
      </c>
      <c r="E38" s="12" t="s">
        <v>841</v>
      </c>
    </row>
    <row r="39" ht="14.25" customHeight="1">
      <c r="B39" s="44" t="s">
        <v>842</v>
      </c>
      <c r="C39" s="12" t="s">
        <v>843</v>
      </c>
      <c r="D39" s="12" t="s">
        <v>844</v>
      </c>
      <c r="E39" s="12" t="s">
        <v>845</v>
      </c>
    </row>
    <row r="40" ht="14.25" customHeight="1">
      <c r="B40" s="44" t="s">
        <v>846</v>
      </c>
      <c r="C40" s="12" t="s">
        <v>847</v>
      </c>
      <c r="D40" s="12" t="s">
        <v>848</v>
      </c>
      <c r="E40" s="12" t="s">
        <v>849</v>
      </c>
    </row>
    <row r="41" ht="14.25" customHeight="1">
      <c r="B41" s="44" t="s">
        <v>850</v>
      </c>
      <c r="C41" s="12" t="s">
        <v>847</v>
      </c>
      <c r="D41" s="12" t="s">
        <v>851</v>
      </c>
      <c r="E41" s="12" t="s">
        <v>852</v>
      </c>
    </row>
    <row r="42" ht="14.25" customHeight="1">
      <c r="B42" s="44" t="s">
        <v>853</v>
      </c>
      <c r="C42" s="12" t="s">
        <v>854</v>
      </c>
      <c r="D42" s="12" t="s">
        <v>855</v>
      </c>
      <c r="E42" s="12" t="s">
        <v>856</v>
      </c>
    </row>
    <row r="43" ht="14.25" customHeight="1">
      <c r="B43" s="44" t="s">
        <v>857</v>
      </c>
      <c r="C43" s="12" t="s">
        <v>854</v>
      </c>
      <c r="D43" s="12" t="s">
        <v>858</v>
      </c>
      <c r="E43" s="12" t="s">
        <v>859</v>
      </c>
    </row>
    <row r="44" ht="14.25" customHeight="1">
      <c r="B44" s="44" t="s">
        <v>860</v>
      </c>
      <c r="C44" s="12" t="s">
        <v>854</v>
      </c>
      <c r="D44" s="12" t="s">
        <v>861</v>
      </c>
      <c r="E44" s="12" t="s">
        <v>862</v>
      </c>
    </row>
    <row r="45" ht="14.25" customHeight="1">
      <c r="B45" s="44" t="s">
        <v>585</v>
      </c>
      <c r="C45" s="12" t="s">
        <v>854</v>
      </c>
      <c r="D45" s="12" t="s">
        <v>863</v>
      </c>
      <c r="E45" s="12" t="s">
        <v>864</v>
      </c>
    </row>
    <row r="46" ht="14.25" customHeight="1">
      <c r="B46" s="44" t="s">
        <v>865</v>
      </c>
      <c r="C46" s="12" t="s">
        <v>847</v>
      </c>
      <c r="D46" s="12" t="s">
        <v>866</v>
      </c>
      <c r="E46" s="12" t="s">
        <v>867</v>
      </c>
    </row>
    <row r="47" ht="14.25" customHeight="1">
      <c r="B47" s="44" t="s">
        <v>868</v>
      </c>
      <c r="C47" s="12" t="s">
        <v>854</v>
      </c>
      <c r="D47" s="12" t="s">
        <v>869</v>
      </c>
      <c r="E47" s="12" t="s">
        <v>870</v>
      </c>
    </row>
    <row r="48" ht="14.25" customHeight="1">
      <c r="B48" s="44" t="s">
        <v>871</v>
      </c>
      <c r="C48" s="12" t="s">
        <v>843</v>
      </c>
      <c r="D48" s="12" t="s">
        <v>872</v>
      </c>
      <c r="E48" s="12" t="s">
        <v>873</v>
      </c>
    </row>
    <row r="49" ht="14.25" customHeight="1">
      <c r="B49" s="44" t="s">
        <v>874</v>
      </c>
      <c r="C49" s="12" t="s">
        <v>843</v>
      </c>
      <c r="D49" s="12" t="s">
        <v>875</v>
      </c>
      <c r="E49" s="12" t="s">
        <v>876</v>
      </c>
    </row>
    <row r="50" ht="14.25" customHeight="1">
      <c r="B50" s="44" t="s">
        <v>877</v>
      </c>
      <c r="C50" s="12" t="s">
        <v>843</v>
      </c>
      <c r="D50" s="12" t="s">
        <v>878</v>
      </c>
      <c r="E50" s="12" t="s">
        <v>879</v>
      </c>
    </row>
    <row r="51" ht="14.25" customHeight="1">
      <c r="B51" s="44" t="s">
        <v>880</v>
      </c>
      <c r="C51" s="12" t="s">
        <v>843</v>
      </c>
      <c r="D51" s="12" t="s">
        <v>881</v>
      </c>
      <c r="E51" s="12" t="s">
        <v>882</v>
      </c>
    </row>
    <row r="52" ht="14.25" customHeight="1">
      <c r="B52" s="44" t="s">
        <v>883</v>
      </c>
      <c r="C52" s="12" t="s">
        <v>843</v>
      </c>
      <c r="D52" s="12" t="s">
        <v>884</v>
      </c>
      <c r="E52" s="12" t="s">
        <v>885</v>
      </c>
    </row>
    <row r="53" ht="14.25" customHeight="1">
      <c r="B53" s="44" t="s">
        <v>886</v>
      </c>
      <c r="C53" s="12" t="s">
        <v>887</v>
      </c>
      <c r="D53" s="12" t="s">
        <v>888</v>
      </c>
      <c r="E53" s="12" t="s">
        <v>889</v>
      </c>
    </row>
    <row r="54" ht="14.25" customHeight="1">
      <c r="B54" s="44" t="s">
        <v>890</v>
      </c>
      <c r="C54" s="12" t="s">
        <v>887</v>
      </c>
      <c r="D54" s="12" t="s">
        <v>891</v>
      </c>
      <c r="E54" s="12" t="s">
        <v>892</v>
      </c>
    </row>
    <row r="55" ht="14.25" customHeight="1">
      <c r="B55" s="44" t="s">
        <v>893</v>
      </c>
      <c r="C55" s="12" t="s">
        <v>887</v>
      </c>
      <c r="D55" s="12" t="s">
        <v>894</v>
      </c>
      <c r="E55" s="12" t="s">
        <v>895</v>
      </c>
    </row>
    <row r="56" ht="14.25" customHeight="1"/>
    <row r="57" ht="14.25" customHeight="1">
      <c r="B57" s="35" t="s">
        <v>896</v>
      </c>
    </row>
    <row r="58" ht="14.25" customHeight="1">
      <c r="B58" s="46"/>
    </row>
    <row r="59" ht="14.25" customHeight="1">
      <c r="B59" s="46" t="s">
        <v>897</v>
      </c>
    </row>
    <row r="60" ht="14.25" customHeight="1">
      <c r="B60" s="46" t="s">
        <v>898</v>
      </c>
    </row>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
    <mergeCell ref="B4:F9"/>
    <mergeCell ref="B12:F12"/>
    <mergeCell ref="B31:F31"/>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5"/>
    <pageSetUpPr/>
  </sheetPr>
  <sheetViews>
    <sheetView workbookViewId="0"/>
  </sheetViews>
  <sheetFormatPr customHeight="1" defaultColWidth="12.63" defaultRowHeight="15.0"/>
  <cols>
    <col customWidth="1" min="1" max="1" width="10.63"/>
    <col customWidth="1" min="2" max="5" width="18.5"/>
    <col customWidth="1" min="6" max="6" width="16.88"/>
    <col customWidth="1" min="7" max="26" width="10.63"/>
  </cols>
  <sheetData>
    <row r="1" ht="14.25" customHeight="1">
      <c r="B1" s="39" t="s">
        <v>899</v>
      </c>
    </row>
    <row r="2" ht="14.25" customHeight="1">
      <c r="B2" s="39"/>
    </row>
    <row r="3" ht="14.25" customHeight="1">
      <c r="B3" s="40" t="s">
        <v>900</v>
      </c>
    </row>
    <row r="4" ht="201.75" customHeight="1">
      <c r="B4" s="41" t="s">
        <v>901</v>
      </c>
    </row>
    <row r="5" ht="14.25" customHeight="1">
      <c r="B5" s="40" t="s">
        <v>782</v>
      </c>
    </row>
    <row r="6" ht="14.25" customHeight="1">
      <c r="B6" s="41" t="s">
        <v>902</v>
      </c>
    </row>
    <row r="7" ht="14.25" customHeight="1"/>
    <row r="8" ht="14.25" customHeight="1"/>
    <row r="9" ht="14.25" customHeight="1"/>
    <row r="10" ht="14.25" customHeight="1"/>
    <row r="11" ht="157.5" customHeight="1"/>
    <row r="12" ht="14.25" customHeight="1">
      <c r="B12" s="39"/>
    </row>
    <row r="13" ht="14.25" customHeight="1">
      <c r="B13" s="47" t="s">
        <v>436</v>
      </c>
      <c r="C13" s="47" t="s">
        <v>903</v>
      </c>
      <c r="D13" s="47" t="s">
        <v>904</v>
      </c>
      <c r="E13" s="47" t="s">
        <v>905</v>
      </c>
      <c r="F13" s="47" t="s">
        <v>906</v>
      </c>
    </row>
    <row r="14" ht="14.25" customHeight="1">
      <c r="B14" s="16" t="s">
        <v>907</v>
      </c>
      <c r="C14" s="16" t="s">
        <v>18</v>
      </c>
      <c r="D14" s="16" t="s">
        <v>908</v>
      </c>
      <c r="E14" s="16" t="s">
        <v>909</v>
      </c>
      <c r="F14" s="16" t="s">
        <v>910</v>
      </c>
    </row>
    <row r="15" ht="14.25" customHeight="1">
      <c r="B15" s="16" t="s">
        <v>911</v>
      </c>
      <c r="C15" s="16" t="s">
        <v>19</v>
      </c>
      <c r="D15" s="16" t="s">
        <v>912</v>
      </c>
      <c r="E15" s="16" t="s">
        <v>913</v>
      </c>
      <c r="F15" s="16" t="s">
        <v>914</v>
      </c>
    </row>
    <row r="16" ht="14.25" customHeight="1">
      <c r="B16" s="16" t="s">
        <v>915</v>
      </c>
      <c r="C16" s="16" t="s">
        <v>20</v>
      </c>
      <c r="D16" s="16" t="s">
        <v>916</v>
      </c>
      <c r="E16" s="16" t="s">
        <v>917</v>
      </c>
      <c r="F16" s="16" t="s">
        <v>918</v>
      </c>
    </row>
    <row r="17" ht="14.25" customHeight="1">
      <c r="B17" s="16" t="s">
        <v>919</v>
      </c>
      <c r="C17" s="16" t="s">
        <v>920</v>
      </c>
      <c r="D17" s="16" t="s">
        <v>921</v>
      </c>
      <c r="E17" s="16" t="s">
        <v>922</v>
      </c>
      <c r="F17" s="16" t="s">
        <v>923</v>
      </c>
    </row>
    <row r="18" ht="14.25" customHeight="1">
      <c r="B18" s="16" t="s">
        <v>924</v>
      </c>
      <c r="C18" s="16" t="s">
        <v>22</v>
      </c>
      <c r="D18" s="16" t="s">
        <v>925</v>
      </c>
      <c r="E18" s="16" t="s">
        <v>926</v>
      </c>
      <c r="F18" s="16" t="s">
        <v>927</v>
      </c>
    </row>
    <row r="19" ht="14.25" customHeight="1">
      <c r="B19" s="16" t="s">
        <v>928</v>
      </c>
      <c r="C19" s="16" t="s">
        <v>929</v>
      </c>
      <c r="D19" s="16" t="s">
        <v>930</v>
      </c>
      <c r="E19" s="16" t="s">
        <v>931</v>
      </c>
      <c r="F19" s="16" t="s">
        <v>932</v>
      </c>
    </row>
    <row r="20" ht="14.25" customHeight="1">
      <c r="B20" s="16" t="s">
        <v>933</v>
      </c>
      <c r="C20" s="16" t="s">
        <v>24</v>
      </c>
      <c r="D20" s="16" t="s">
        <v>934</v>
      </c>
      <c r="E20" s="16" t="s">
        <v>935</v>
      </c>
      <c r="F20" s="16" t="s">
        <v>936</v>
      </c>
    </row>
    <row r="21" ht="14.25" customHeight="1">
      <c r="B21" s="16" t="s">
        <v>937</v>
      </c>
      <c r="C21" s="16" t="s">
        <v>25</v>
      </c>
      <c r="D21" s="16" t="s">
        <v>938</v>
      </c>
      <c r="E21" s="16" t="s">
        <v>939</v>
      </c>
      <c r="F21" s="16" t="s">
        <v>940</v>
      </c>
    </row>
    <row r="22" ht="14.25" customHeight="1">
      <c r="B22" s="16" t="s">
        <v>941</v>
      </c>
      <c r="C22" s="16" t="s">
        <v>26</v>
      </c>
      <c r="D22" s="16" t="s">
        <v>942</v>
      </c>
      <c r="E22" s="16" t="s">
        <v>943</v>
      </c>
      <c r="F22" s="16" t="s">
        <v>944</v>
      </c>
    </row>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
    <mergeCell ref="B4:F4"/>
    <mergeCell ref="B6:F11"/>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8"/>
    <pageSetUpPr/>
  </sheetPr>
  <sheetViews>
    <sheetView workbookViewId="0"/>
  </sheetViews>
  <sheetFormatPr customHeight="1" defaultColWidth="12.63" defaultRowHeight="15.0"/>
  <cols>
    <col customWidth="1" min="1" max="1" width="10.63"/>
    <col customWidth="1" min="2" max="2" width="18.5"/>
    <col customWidth="1" min="3" max="3" width="20.88"/>
    <col customWidth="1" min="4" max="5" width="18.5"/>
    <col customWidth="1" min="6" max="6" width="22.5"/>
    <col customWidth="1" min="7" max="26" width="10.63"/>
  </cols>
  <sheetData>
    <row r="1" ht="14.25" customHeight="1">
      <c r="B1" s="39" t="s">
        <v>945</v>
      </c>
    </row>
    <row r="2" ht="14.25" customHeight="1">
      <c r="B2" s="39"/>
    </row>
    <row r="3" ht="14.25" customHeight="1">
      <c r="B3" s="40" t="s">
        <v>900</v>
      </c>
    </row>
    <row r="4" ht="220.5" customHeight="1">
      <c r="B4" s="41" t="s">
        <v>946</v>
      </c>
    </row>
    <row r="5" ht="14.25" customHeight="1">
      <c r="B5" s="40" t="s">
        <v>782</v>
      </c>
    </row>
    <row r="6" ht="14.25" customHeight="1">
      <c r="B6" s="41" t="s">
        <v>947</v>
      </c>
    </row>
    <row r="7" ht="14.25" customHeight="1"/>
    <row r="8" ht="14.25" customHeight="1"/>
    <row r="9" ht="14.25" customHeight="1"/>
    <row r="10" ht="14.25" customHeight="1"/>
    <row r="11" ht="177.75" customHeight="1"/>
    <row r="12" ht="14.25" customHeight="1">
      <c r="B12" s="47" t="s">
        <v>948</v>
      </c>
      <c r="C12" s="47" t="s">
        <v>949</v>
      </c>
      <c r="D12" s="47">
        <v>0.0</v>
      </c>
      <c r="E12" s="47">
        <v>1.0</v>
      </c>
      <c r="F12" s="47">
        <v>2.0</v>
      </c>
    </row>
    <row r="13" ht="14.25" customHeight="1">
      <c r="A13" s="48"/>
      <c r="B13" s="16" t="s">
        <v>27</v>
      </c>
      <c r="C13" s="12" t="s">
        <v>950</v>
      </c>
      <c r="D13" s="16" t="s">
        <v>951</v>
      </c>
      <c r="E13" s="16" t="s">
        <v>952</v>
      </c>
      <c r="F13" s="16" t="s">
        <v>953</v>
      </c>
      <c r="G13" s="48"/>
      <c r="H13" s="48"/>
      <c r="I13" s="48"/>
      <c r="J13" s="48"/>
      <c r="K13" s="48"/>
      <c r="L13" s="48"/>
      <c r="M13" s="48"/>
      <c r="N13" s="48"/>
      <c r="O13" s="48"/>
      <c r="P13" s="48"/>
      <c r="Q13" s="48"/>
      <c r="R13" s="48"/>
      <c r="S13" s="48"/>
      <c r="T13" s="48"/>
      <c r="U13" s="48"/>
      <c r="V13" s="48"/>
      <c r="W13" s="48"/>
      <c r="X13" s="48"/>
      <c r="Y13" s="48"/>
      <c r="Z13" s="48"/>
    </row>
    <row r="14" ht="14.25" customHeight="1">
      <c r="A14" s="48"/>
      <c r="B14" s="16" t="s">
        <v>28</v>
      </c>
      <c r="C14" s="12" t="s">
        <v>954</v>
      </c>
      <c r="D14" s="16" t="s">
        <v>955</v>
      </c>
      <c r="E14" s="16" t="s">
        <v>956</v>
      </c>
      <c r="F14" s="16" t="s">
        <v>957</v>
      </c>
      <c r="G14" s="48"/>
      <c r="H14" s="48"/>
      <c r="I14" s="48"/>
      <c r="J14" s="48"/>
      <c r="K14" s="48"/>
      <c r="L14" s="48"/>
      <c r="M14" s="48"/>
      <c r="N14" s="48"/>
      <c r="O14" s="48"/>
      <c r="P14" s="48"/>
      <c r="Q14" s="48"/>
      <c r="R14" s="48"/>
      <c r="S14" s="48"/>
      <c r="T14" s="48"/>
      <c r="U14" s="48"/>
      <c r="V14" s="48"/>
      <c r="W14" s="48"/>
      <c r="X14" s="48"/>
      <c r="Y14" s="48"/>
      <c r="Z14" s="48"/>
    </row>
    <row r="15" ht="14.25" customHeight="1">
      <c r="A15" s="48"/>
      <c r="B15" s="16" t="s">
        <v>29</v>
      </c>
      <c r="C15" s="12" t="s">
        <v>958</v>
      </c>
      <c r="D15" s="16" t="s">
        <v>959</v>
      </c>
      <c r="E15" s="16" t="s">
        <v>960</v>
      </c>
      <c r="F15" s="16" t="s">
        <v>961</v>
      </c>
      <c r="G15" s="48"/>
      <c r="H15" s="48"/>
      <c r="I15" s="48"/>
      <c r="J15" s="48"/>
      <c r="K15" s="48"/>
      <c r="L15" s="48"/>
      <c r="M15" s="48"/>
      <c r="N15" s="48"/>
      <c r="O15" s="48"/>
      <c r="P15" s="48"/>
      <c r="Q15" s="48"/>
      <c r="R15" s="48"/>
      <c r="S15" s="48"/>
      <c r="T15" s="48"/>
      <c r="U15" s="48"/>
      <c r="V15" s="48"/>
      <c r="W15" s="48"/>
      <c r="X15" s="48"/>
      <c r="Y15" s="48"/>
      <c r="Z15" s="48"/>
    </row>
    <row r="16" ht="14.25" customHeight="1">
      <c r="A16" s="48"/>
      <c r="B16" s="16" t="s">
        <v>30</v>
      </c>
      <c r="C16" s="12" t="s">
        <v>962</v>
      </c>
      <c r="D16" s="16" t="s">
        <v>963</v>
      </c>
      <c r="E16" s="16" t="s">
        <v>964</v>
      </c>
      <c r="F16" s="16" t="s">
        <v>965</v>
      </c>
      <c r="G16" s="48"/>
      <c r="H16" s="48"/>
      <c r="I16" s="48"/>
      <c r="J16" s="48"/>
      <c r="K16" s="48"/>
      <c r="L16" s="48"/>
      <c r="M16" s="48"/>
      <c r="N16" s="48"/>
      <c r="O16" s="48"/>
      <c r="P16" s="48"/>
      <c r="Q16" s="48"/>
      <c r="R16" s="48"/>
      <c r="S16" s="48"/>
      <c r="T16" s="48"/>
      <c r="U16" s="48"/>
      <c r="V16" s="48"/>
      <c r="W16" s="48"/>
      <c r="X16" s="48"/>
      <c r="Y16" s="48"/>
      <c r="Z16" s="48"/>
    </row>
    <row r="17" ht="14.25" customHeight="1">
      <c r="A17" s="48"/>
      <c r="B17" s="16" t="s">
        <v>31</v>
      </c>
      <c r="C17" s="12" t="s">
        <v>966</v>
      </c>
      <c r="D17" s="16" t="s">
        <v>967</v>
      </c>
      <c r="E17" s="16" t="s">
        <v>968</v>
      </c>
      <c r="F17" s="16" t="s">
        <v>969</v>
      </c>
      <c r="G17" s="48"/>
      <c r="H17" s="48"/>
      <c r="I17" s="48"/>
      <c r="J17" s="48"/>
      <c r="K17" s="48"/>
      <c r="L17" s="48"/>
      <c r="M17" s="48"/>
      <c r="N17" s="48"/>
      <c r="O17" s="48"/>
      <c r="P17" s="48"/>
      <c r="Q17" s="48"/>
      <c r="R17" s="48"/>
      <c r="S17" s="48"/>
      <c r="T17" s="48"/>
      <c r="U17" s="48"/>
      <c r="V17" s="48"/>
      <c r="W17" s="48"/>
      <c r="X17" s="48"/>
      <c r="Y17" s="48"/>
      <c r="Z17" s="48"/>
    </row>
    <row r="18" ht="14.25" customHeight="1">
      <c r="A18" s="48"/>
      <c r="B18" s="16" t="s">
        <v>32</v>
      </c>
      <c r="C18" s="12" t="s">
        <v>970</v>
      </c>
      <c r="D18" s="16" t="s">
        <v>971</v>
      </c>
      <c r="E18" s="16" t="s">
        <v>972</v>
      </c>
      <c r="F18" s="16" t="s">
        <v>973</v>
      </c>
      <c r="G18" s="48"/>
      <c r="H18" s="48"/>
      <c r="I18" s="48"/>
      <c r="J18" s="48"/>
      <c r="K18" s="48"/>
      <c r="L18" s="48"/>
      <c r="M18" s="48"/>
      <c r="N18" s="48"/>
      <c r="O18" s="48"/>
      <c r="P18" s="48"/>
      <c r="Q18" s="48"/>
      <c r="R18" s="48"/>
      <c r="S18" s="48"/>
      <c r="T18" s="48"/>
      <c r="U18" s="48"/>
      <c r="V18" s="48"/>
      <c r="W18" s="48"/>
      <c r="X18" s="48"/>
      <c r="Y18" s="48"/>
      <c r="Z18" s="48"/>
    </row>
    <row r="19" ht="14.25" customHeight="1"/>
    <row r="20" ht="14.25" customHeight="1"/>
    <row r="21" ht="14.25" customHeight="1"/>
    <row r="22" ht="14.25" customHeight="1"/>
    <row r="23" ht="14.25" customHeight="1"/>
    <row r="24" ht="14.25" customHeight="1"/>
    <row r="25" ht="14.25" customHeight="1">
      <c r="B25" s="42" t="s">
        <v>948</v>
      </c>
      <c r="C25" s="42" t="s">
        <v>974</v>
      </c>
    </row>
    <row r="26" ht="14.25" customHeight="1">
      <c r="B26" s="44" t="s">
        <v>27</v>
      </c>
      <c r="C26" s="44" t="s">
        <v>975</v>
      </c>
    </row>
    <row r="27" ht="14.25" customHeight="1">
      <c r="B27" s="44" t="s">
        <v>28</v>
      </c>
      <c r="C27" s="12" t="s">
        <v>976</v>
      </c>
    </row>
    <row r="28" ht="14.25" customHeight="1">
      <c r="B28" s="44" t="s">
        <v>29</v>
      </c>
      <c r="C28" s="12" t="s">
        <v>977</v>
      </c>
    </row>
    <row r="29" ht="14.25" customHeight="1">
      <c r="B29" s="44" t="s">
        <v>30</v>
      </c>
      <c r="C29" s="12" t="s">
        <v>978</v>
      </c>
    </row>
    <row r="30" ht="14.25" customHeight="1">
      <c r="B30" s="44" t="s">
        <v>31</v>
      </c>
      <c r="C30" s="12" t="s">
        <v>979</v>
      </c>
    </row>
    <row r="31" ht="14.25" customHeight="1">
      <c r="B31" s="44" t="s">
        <v>32</v>
      </c>
      <c r="C31" s="12" t="s">
        <v>980</v>
      </c>
    </row>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
    <mergeCell ref="B4:F4"/>
    <mergeCell ref="B6:F11"/>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4"/>
    <pageSetUpPr/>
  </sheetPr>
  <sheetViews>
    <sheetView workbookViewId="0"/>
  </sheetViews>
  <sheetFormatPr customHeight="1" defaultColWidth="12.63" defaultRowHeight="15.0"/>
  <cols>
    <col customWidth="1" min="1" max="1" width="10.63"/>
    <col customWidth="1" min="2" max="5" width="18.5"/>
    <col customWidth="1" min="6" max="26" width="10.63"/>
  </cols>
  <sheetData>
    <row r="1" ht="14.25" customHeight="1">
      <c r="B1" s="39" t="s">
        <v>981</v>
      </c>
    </row>
    <row r="2" ht="14.25" customHeight="1">
      <c r="B2" s="39"/>
    </row>
    <row r="3" ht="14.25" customHeight="1">
      <c r="B3" s="40" t="s">
        <v>782</v>
      </c>
    </row>
    <row r="4" ht="14.25" customHeight="1">
      <c r="B4" s="41" t="s">
        <v>982</v>
      </c>
    </row>
    <row r="5" ht="14.25" customHeight="1"/>
    <row r="6" ht="14.25" customHeight="1"/>
    <row r="7" ht="14.25" customHeight="1"/>
    <row r="8" ht="14.25" customHeight="1"/>
    <row r="9" ht="220.5" customHeight="1"/>
    <row r="10" ht="14.25" customHeight="1">
      <c r="B10" s="39"/>
    </row>
    <row r="11" ht="14.25" customHeight="1">
      <c r="B11" s="40" t="s">
        <v>983</v>
      </c>
    </row>
    <row r="12" ht="27.0" customHeight="1">
      <c r="B12" s="41" t="s">
        <v>984</v>
      </c>
    </row>
    <row r="13" ht="14.25" customHeight="1">
      <c r="B13" s="39"/>
    </row>
    <row r="14" ht="14.25" customHeight="1">
      <c r="B14" s="49" t="s">
        <v>985</v>
      </c>
      <c r="C14" s="50" t="s">
        <v>986</v>
      </c>
      <c r="D14" s="51"/>
      <c r="E14" s="51"/>
      <c r="F14" s="52"/>
    </row>
    <row r="15" ht="14.25" customHeight="1">
      <c r="B15" s="49" t="s">
        <v>987</v>
      </c>
      <c r="C15" s="53" t="s">
        <v>988</v>
      </c>
      <c r="D15" s="51"/>
      <c r="E15" s="51"/>
      <c r="F15" s="52"/>
    </row>
    <row r="16" ht="14.25" customHeight="1">
      <c r="B16" s="49" t="s">
        <v>989</v>
      </c>
      <c r="C16" s="53" t="s">
        <v>990</v>
      </c>
      <c r="D16" s="51"/>
      <c r="E16" s="51"/>
      <c r="F16" s="52"/>
    </row>
    <row r="17" ht="14.25" customHeight="1">
      <c r="B17" s="49" t="s">
        <v>991</v>
      </c>
      <c r="C17" s="50" t="s">
        <v>992</v>
      </c>
      <c r="D17" s="51"/>
      <c r="E17" s="51"/>
      <c r="F17" s="52"/>
    </row>
    <row r="18" ht="14.25" customHeight="1">
      <c r="B18" s="54"/>
      <c r="C18" s="54"/>
      <c r="D18" s="54"/>
      <c r="E18" s="54"/>
      <c r="F18" s="54"/>
    </row>
    <row r="19" ht="14.25" customHeight="1">
      <c r="B19" s="40" t="s">
        <v>993</v>
      </c>
    </row>
    <row r="20" ht="30.75" customHeight="1">
      <c r="B20" s="41" t="s">
        <v>994</v>
      </c>
    </row>
    <row r="21" ht="14.25" customHeight="1">
      <c r="B21" s="39"/>
    </row>
    <row r="22" ht="47.25" customHeight="1">
      <c r="B22" s="55" t="s">
        <v>995</v>
      </c>
      <c r="C22" s="50" t="s">
        <v>996</v>
      </c>
      <c r="D22" s="51"/>
      <c r="E22" s="51"/>
      <c r="F22" s="52"/>
    </row>
    <row r="23" ht="14.25" customHeight="1">
      <c r="B23" s="49" t="s">
        <v>997</v>
      </c>
      <c r="C23" s="53" t="s">
        <v>998</v>
      </c>
      <c r="D23" s="51"/>
      <c r="E23" s="51"/>
      <c r="F23" s="52"/>
    </row>
    <row r="24" ht="14.25" customHeight="1">
      <c r="B24" s="49" t="s">
        <v>999</v>
      </c>
      <c r="C24" s="53" t="s">
        <v>1000</v>
      </c>
      <c r="D24" s="51"/>
      <c r="E24" s="51"/>
      <c r="F24" s="52"/>
    </row>
    <row r="25" ht="75.75" customHeight="1">
      <c r="B25" s="49" t="s">
        <v>1001</v>
      </c>
      <c r="C25" s="50" t="s">
        <v>1002</v>
      </c>
      <c r="D25" s="51"/>
      <c r="E25" s="51"/>
      <c r="F25" s="52"/>
    </row>
    <row r="26" ht="14.25" customHeight="1">
      <c r="B26" s="54"/>
      <c r="C26" s="54"/>
      <c r="D26" s="54"/>
      <c r="E26" s="54"/>
      <c r="F26" s="54"/>
    </row>
    <row r="27" ht="14.25" customHeight="1">
      <c r="B27" s="40" t="s">
        <v>1003</v>
      </c>
    </row>
    <row r="28" ht="30.0" customHeight="1">
      <c r="B28" s="41" t="s">
        <v>1004</v>
      </c>
    </row>
    <row r="29" ht="14.25" customHeight="1">
      <c r="B29" s="39"/>
    </row>
    <row r="30" ht="48.0" customHeight="1">
      <c r="B30" s="55" t="s">
        <v>1005</v>
      </c>
      <c r="C30" s="50" t="s">
        <v>1006</v>
      </c>
      <c r="D30" s="51"/>
      <c r="E30" s="51"/>
      <c r="F30" s="52"/>
    </row>
    <row r="31" ht="14.25" customHeight="1">
      <c r="B31" s="49" t="s">
        <v>1007</v>
      </c>
      <c r="C31" s="53" t="s">
        <v>1008</v>
      </c>
      <c r="D31" s="51"/>
      <c r="E31" s="51"/>
      <c r="F31" s="52"/>
    </row>
    <row r="32" ht="14.25" customHeight="1">
      <c r="B32" s="49" t="s">
        <v>1009</v>
      </c>
      <c r="C32" s="53" t="s">
        <v>1010</v>
      </c>
      <c r="D32" s="51"/>
      <c r="E32" s="51"/>
      <c r="F32" s="52"/>
    </row>
    <row r="33" ht="14.25" customHeight="1"/>
    <row r="34" ht="14.25" customHeight="1">
      <c r="B34" s="40" t="s">
        <v>1011</v>
      </c>
    </row>
    <row r="35" ht="26.25" customHeight="1">
      <c r="B35" s="41" t="s">
        <v>1012</v>
      </c>
    </row>
    <row r="36" ht="14.25" customHeight="1">
      <c r="B36" s="39"/>
    </row>
    <row r="37" ht="14.25" customHeight="1">
      <c r="B37" s="55" t="s">
        <v>157</v>
      </c>
      <c r="C37" s="50" t="s">
        <v>1013</v>
      </c>
      <c r="D37" s="51"/>
      <c r="E37" s="51"/>
      <c r="F37" s="52"/>
    </row>
    <row r="38" ht="14.25" customHeight="1">
      <c r="B38" s="49" t="s">
        <v>1014</v>
      </c>
      <c r="C38" s="53" t="s">
        <v>1015</v>
      </c>
      <c r="D38" s="51"/>
      <c r="E38" s="51"/>
      <c r="F38" s="52"/>
    </row>
    <row r="39" ht="14.25" customHeight="1">
      <c r="B39" s="49" t="s">
        <v>1016</v>
      </c>
      <c r="C39" s="53" t="s">
        <v>1017</v>
      </c>
      <c r="D39" s="51"/>
      <c r="E39" s="51"/>
      <c r="F39" s="52"/>
    </row>
    <row r="40" ht="14.25" customHeight="1">
      <c r="B40" s="49" t="s">
        <v>1018</v>
      </c>
      <c r="C40" s="50" t="s">
        <v>1019</v>
      </c>
      <c r="D40" s="51"/>
      <c r="E40" s="51"/>
      <c r="F40" s="52"/>
    </row>
    <row r="41" ht="14.25" customHeight="1">
      <c r="B41" s="49" t="s">
        <v>1020</v>
      </c>
      <c r="C41" s="53" t="s">
        <v>1021</v>
      </c>
      <c r="D41" s="51"/>
      <c r="E41" s="51"/>
      <c r="F41" s="52"/>
    </row>
    <row r="42" ht="14.25" customHeight="1">
      <c r="B42" s="49" t="s">
        <v>1022</v>
      </c>
      <c r="C42" s="53" t="s">
        <v>1023</v>
      </c>
      <c r="D42" s="51"/>
      <c r="E42" s="51"/>
      <c r="F42" s="52"/>
    </row>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2">
    <mergeCell ref="B4:F9"/>
    <mergeCell ref="B12:F12"/>
    <mergeCell ref="C14:F14"/>
    <mergeCell ref="C15:F15"/>
    <mergeCell ref="C16:F16"/>
    <mergeCell ref="C17:F17"/>
    <mergeCell ref="B20:F20"/>
    <mergeCell ref="C32:F32"/>
    <mergeCell ref="B35:F35"/>
    <mergeCell ref="C37:F37"/>
    <mergeCell ref="C38:F38"/>
    <mergeCell ref="C39:F39"/>
    <mergeCell ref="C40:F40"/>
    <mergeCell ref="C41:F41"/>
    <mergeCell ref="C42:F42"/>
    <mergeCell ref="C22:F22"/>
    <mergeCell ref="C23:F23"/>
    <mergeCell ref="C24:F24"/>
    <mergeCell ref="C25:F25"/>
    <mergeCell ref="B28:F28"/>
    <mergeCell ref="C30:F30"/>
    <mergeCell ref="C31:F31"/>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2025-11-06T19:52:03Z</dcterms:created>
  <dc:creator>Rev101</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0x010100825A58A8A01239428BDF46D269BE4A48</vt:lpwstr>
  </property>
  <property fmtid="{D5CDD505-2E9C-101B-9397-08002B2CF9AE}" pid="3" name="MediaServiceImageTags">
    <vt:lpwstr/>
  </property>
</Properties>
</file>